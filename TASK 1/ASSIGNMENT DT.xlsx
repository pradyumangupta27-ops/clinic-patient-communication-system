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 1" sheetId="1" r:id="rId4"/>
    <sheet state="visible" name="High Risk Medicines" sheetId="2" r:id="rId5"/>
    <sheet state="visible" name="Name Variants" sheetId="3" r:id="rId6"/>
    <sheet state="visible" name="Sales Mapped" sheetId="4" r:id="rId7"/>
    <sheet state="visible" name="Daily Checklist" sheetId="5" r:id="rId8"/>
    <sheet state="visible" name="Daily Reconciliation" sheetId="6" r:id="rId9"/>
    <sheet state="visible" name="Error Log" sheetId="7" r:id="rId10"/>
    <sheet state="visible" name="Doctor Escalations" sheetId="8" r:id="rId11"/>
  </sheets>
  <definedNames/>
  <calcPr/>
</workbook>
</file>

<file path=xl/sharedStrings.xml><?xml version="1.0" encoding="utf-8"?>
<sst xmlns="http://schemas.openxmlformats.org/spreadsheetml/2006/main" count="215" uniqueCount="137">
  <si>
    <t>Task 1 – High-Risk Medicine Audit &amp; Error Detection</t>
  </si>
  <si>
    <r>
      <rPr>
        <rFont val="Arial"/>
        <b/>
        <color theme="1"/>
        <sz val="17.0"/>
      </rPr>
      <t xml:space="preserve">In Task 1, </t>
    </r>
    <r>
      <rPr>
        <rFont val="Arial"/>
        <b/>
        <color theme="1"/>
        <sz val="14.0"/>
      </rPr>
      <t xml:space="preserve">
</t>
    </r>
    <r>
      <rPr>
        <rFont val="Arial"/>
        <color theme="1"/>
        <sz val="14.0"/>
      </rPr>
      <t xml:space="preserve">
•        I designed a daily audit process to proactively identify errors involving high-risk medicines in a clinic pharmacy.
•        I standardized medicine names using normalization and mapped multiple name variants to a single canonical medicine to prevent billing and inventory mismatches.
•        High-risk medicines were prioritized based on their potential for name, quantity, and strength-related errors.
•        A daily checklist was used to manually audit a sample of transactions to validate prescription accuracy and detect anomalies.
•        Stock movements were reconciled against expected closing balances using tolerance thresholds to flag material deviations.
•        Identified issues were logged, tracked for recurrence, and escalated to doctors only when the risk or financial impact was significant.
</t>
    </r>
  </si>
  <si>
    <t>Made By : Pradyuman Gupta</t>
  </si>
  <si>
    <t>High-Risk Medicines Master – Daily Audit Control</t>
  </si>
  <si>
    <t>Purpose:
This sheet maintains the master list of medicines with higher risk of billing, naming, or inventory errors.
It defines canonical medicine names, risk levels, and tolerance thresholds used in daily audits and reconciliations.
This sheet acts as a control reference and is updated only when new risks or medicines are identified.</t>
  </si>
  <si>
    <t>Date</t>
  </si>
  <si>
    <t>Medicine ID</t>
  </si>
  <si>
    <t>Canonical Name ( Official Name )</t>
  </si>
  <si>
    <t>Normalized Key</t>
  </si>
  <si>
    <t>Risk Level</t>
  </si>
  <si>
    <t>Unit</t>
  </si>
  <si>
    <t>Why High Risk</t>
  </si>
  <si>
    <t>Tolerance</t>
  </si>
  <si>
    <t>Active</t>
  </si>
  <si>
    <t>M001</t>
  </si>
  <si>
    <t>Dolo 650</t>
  </si>
  <si>
    <t>Very High</t>
  </si>
  <si>
    <t>Tablet</t>
  </si>
  <si>
    <t>Name + Quantity + Inventory</t>
  </si>
  <si>
    <t>YES</t>
  </si>
  <si>
    <t>M002</t>
  </si>
  <si>
    <t>Azithromycin 500</t>
  </si>
  <si>
    <t>High</t>
  </si>
  <si>
    <t>Strip</t>
  </si>
  <si>
    <t>Name + Quantity + Strength</t>
  </si>
  <si>
    <t>M003</t>
  </si>
  <si>
    <t>Pantoprazole 40</t>
  </si>
  <si>
    <t>Medium</t>
  </si>
  <si>
    <t>Brand + Quantity + Strength</t>
  </si>
  <si>
    <t>M004</t>
  </si>
  <si>
    <t>Cetirizine 10</t>
  </si>
  <si>
    <t>M005</t>
  </si>
  <si>
    <t>Dolo 650 mg</t>
  </si>
  <si>
    <t>LOW</t>
  </si>
  <si>
    <t>NOTE : Only medicines marked as Active are included in daily reconciliation and audit checks.
Tolerance thresholds are defined based on historical error patterns and clinical risk.</t>
  </si>
  <si>
    <t>Medicine Name Variants &amp; Normalization Log</t>
  </si>
  <si>
    <t>Purpose:
This sheet captures all observed variations in medicine names entered during billing or sales.
It standardizes multiple spellings, abbreviations, and brand variations into a single canonical medicine name.
This helps prevent billing errors, duplicate inventory records, and reconciliation mismatches over time.</t>
  </si>
  <si>
    <t>Entered Name</t>
  </si>
  <si>
    <t>Reason (Spelling / Abbrev / Dosage / Case)</t>
  </si>
  <si>
    <t>First Seen Date</t>
  </si>
  <si>
    <t>Seen Before?</t>
  </si>
  <si>
    <t>Action Taken</t>
  </si>
  <si>
    <t>DOLO KIND</t>
  </si>
  <si>
    <t>Case variation</t>
  </si>
  <si>
    <t>Needs Review</t>
  </si>
  <si>
    <t>DOLO 650</t>
  </si>
  <si>
    <t>Mapped</t>
  </si>
  <si>
    <t>Dolo-650mg</t>
  </si>
  <si>
    <t>Spelling</t>
  </si>
  <si>
    <t>Normalized</t>
  </si>
  <si>
    <t>AZITHRO 500</t>
  </si>
  <si>
    <t>Abbreviation</t>
  </si>
  <si>
    <t>NOTE : New variants marked as UNMAPPED are reviewed daily and mapped before inclusion in reconciliation and audit checks.</t>
  </si>
  <si>
    <t>Sales Transactions – Normalized &amp; Mapped View</t>
  </si>
  <si>
    <t>Purpose:
This sheet captures daily sales transactions and standardizes entered medicine names using normalization and canonical mapping.
It identifies unmapped or incorrect medicine entries and prepares clean, validated data for daily audit and reconciliation.
This sheet acts as the primary input for name-variant detection and risk review.</t>
  </si>
  <si>
    <t>Bill No</t>
  </si>
  <si>
    <t>Mapping Status</t>
  </si>
  <si>
    <t>Invoice No</t>
  </si>
  <si>
    <t>Sold Qty</t>
  </si>
  <si>
    <t>B001</t>
  </si>
  <si>
    <t>DOLO 600</t>
  </si>
  <si>
    <t>INV101</t>
  </si>
  <si>
    <t>B002</t>
  </si>
  <si>
    <t>INV102</t>
  </si>
  <si>
    <t>B003</t>
  </si>
  <si>
    <t>INV103</t>
  </si>
  <si>
    <t>B004</t>
  </si>
  <si>
    <t>CETIRIZINE 10</t>
  </si>
  <si>
    <t>INV104</t>
  </si>
  <si>
    <t>B005</t>
  </si>
  <si>
    <t>DOLO SIX FIVE ZERO</t>
  </si>
  <si>
    <t>ERROR</t>
  </si>
  <si>
    <t>INV105</t>
  </si>
  <si>
    <t>B006</t>
  </si>
  <si>
    <t>Daily Sales Audit Checklist – High-Risk Medicines</t>
  </si>
  <si>
    <t>Purpose:
This checklist is used for daily manual audit of selected sales transactions, with a focus on high-risk medicines.
It validates prescription accuracy, medicine name correctness, and quantity reasonableness.
Identified issues are logged for corrective action and escalation when required.</t>
  </si>
  <si>
    <t xml:space="preserve"> Date</t>
  </si>
  <si>
    <t>Prescription Match?</t>
  </si>
  <si>
    <t>Name Correct?</t>
  </si>
  <si>
    <t>Issue Type</t>
  </si>
  <si>
    <t>Corrected?</t>
  </si>
  <si>
    <t>Remarks</t>
  </si>
  <si>
    <t>NO</t>
  </si>
  <si>
    <t>Variant not mapped</t>
  </si>
  <si>
    <t>None</t>
  </si>
  <si>
    <t>-</t>
  </si>
  <si>
    <t>Note:
A minimum of 3–5 transactions involving high-risk medicines are audited daily.
Any unresolved issues are logged in the Error Log for pattern analysis.</t>
  </si>
  <si>
    <t>Daily Inventory Reconciliation – High-Risk Medicines</t>
  </si>
  <si>
    <t>Purpose:
This sheet performs daily reconciliation of inventory for high-risk medicines by comparing system-calculated expected closing stock with actual physical closing stock.
Any variance beyond defined tolerance levels is automatically flagged for review and investigation.</t>
  </si>
  <si>
    <t>Opening Stock</t>
  </si>
  <si>
    <t>Purchased</t>
  </si>
  <si>
    <t>Sold</t>
  </si>
  <si>
    <t>Expected Closing</t>
  </si>
  <si>
    <t>Actual Closing</t>
  </si>
  <si>
    <t>Difference</t>
  </si>
  <si>
    <t>Status (OK / REVIEW)</t>
  </si>
  <si>
    <t>Error Log – Confirmed Issues &amp; Root Cause Tracking</t>
  </si>
  <si>
    <t>Purpose:
This sheet records confirmed errors identified through daily audits and reconciliations.
It captures error type, source, impact, and corrective actions to support root-cause analysis and prevent recurrence.
Only material or repeated issues are logged in this sheet.</t>
  </si>
  <si>
    <t xml:space="preserve">Made By : Pradyuman Gupta                        
                        </t>
  </si>
  <si>
    <t>Medicine - Canonical Name ( Official Name )</t>
  </si>
  <si>
    <t>Error_Type (Name / Qty / Pattern)</t>
  </si>
  <si>
    <t>Source</t>
  </si>
  <si>
    <t>Description</t>
  </si>
  <si>
    <t>Impact</t>
  </si>
  <si>
    <t>Action Taken?</t>
  </si>
  <si>
    <t>Repeated?</t>
  </si>
  <si>
    <t>STATUS</t>
  </si>
  <si>
    <t>Name</t>
  </si>
  <si>
    <t>Sales</t>
  </si>
  <si>
    <t>DOLO KIND entered</t>
  </si>
  <si>
    <t>Added variant mapping</t>
  </si>
  <si>
    <t>Closed</t>
  </si>
  <si>
    <t>Qty</t>
  </si>
  <si>
    <t xml:space="preserve">Enventory </t>
  </si>
  <si>
    <t>Stock mismatch</t>
  </si>
  <si>
    <t>Physical count done</t>
  </si>
  <si>
    <t>Open</t>
  </si>
  <si>
    <t>Pattern</t>
  </si>
  <si>
    <t>Billing</t>
  </si>
  <si>
    <t>Same variant recurring</t>
  </si>
  <si>
    <t>Staff instructed</t>
  </si>
  <si>
    <t>Doctor Escalations – High-Risk Medicine Issues</t>
  </si>
  <si>
    <t>Purpose:
This sheet records issues related to high-risk medicines that require escalation to a doctor due to potential clinical risk, repeated errors, or material inventory discrepancies.
It ensures timely communication, documented resolution, and accountability for patient safety.</t>
  </si>
  <si>
    <t xml:space="preserve">Made By : Pradyuman Gupta  </t>
  </si>
  <si>
    <t>Issue Summary</t>
  </si>
  <si>
    <t>Financial Impact</t>
  </si>
  <si>
    <t>Doctor Notified?</t>
  </si>
  <si>
    <t>Resolution</t>
  </si>
  <si>
    <t>Status</t>
  </si>
  <si>
    <t>Stock shortfall beyond tolerance</t>
  </si>
  <si>
    <t>Yes</t>
  </si>
  <si>
    <t>Physical recount approved</t>
  </si>
  <si>
    <t>Repeated incorrect variants billed</t>
  </si>
  <si>
    <t>Staff retrained</t>
  </si>
  <si>
    <t>Unusual high daily sale quantity</t>
  </si>
  <si>
    <t>No</t>
  </si>
  <si>
    <t>Under review</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</si>
</sst>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m-yyyy"/>
  </numFmts>
  <fonts count="17">
    <font>
      <sz val="10.0"/>
      <color rgb="FF000000"/>
      <name val="Arial"/>
      <scheme val="minor"/>
    </font>
    <font>
      <b/>
      <i/>
      <sz val="17.0"/>
      <color rgb="FF666666"/>
      <name val="Arial"/>
      <scheme val="minor"/>
    </font>
    <font>
      <sz val="13.0"/>
      <color theme="1"/>
      <name val="Arial"/>
      <scheme val="minor"/>
    </font>
    <font>
      <sz val="14.0"/>
      <color theme="1"/>
      <name val="Arial"/>
      <scheme val="minor"/>
    </font>
    <font>
      <b/>
      <i/>
      <sz val="15.0"/>
      <color rgb="FF7F6000"/>
      <name val="Arial"/>
      <scheme val="minor"/>
    </font>
    <font>
      <color theme="1"/>
      <name val="Arial"/>
      <scheme val="minor"/>
    </font>
    <font>
      <i/>
      <sz val="13.0"/>
      <color theme="1"/>
      <name val="Arial"/>
      <scheme val="minor"/>
    </font>
    <font>
      <sz val="11.0"/>
      <color theme="1"/>
      <name val="Arial"/>
      <scheme val="minor"/>
    </font>
    <font>
      <i/>
      <sz val="13.0"/>
      <color rgb="FF980000"/>
      <name val="Arial"/>
    </font>
    <font>
      <b/>
      <i/>
      <sz val="17.0"/>
      <color theme="1"/>
      <name val="Arial"/>
      <scheme val="minor"/>
    </font>
    <font>
      <i/>
      <sz val="13.0"/>
      <color rgb="FF980000"/>
      <name val="Arial"/>
      <scheme val="minor"/>
    </font>
    <font>
      <sz val="17.0"/>
      <color rgb="FF000000"/>
      <name val="Arial"/>
      <scheme val="minor"/>
    </font>
    <font>
      <i/>
      <sz val="12.0"/>
      <color theme="1"/>
      <name val="Arial"/>
      <scheme val="minor"/>
    </font>
    <font>
      <b/>
      <i/>
      <sz val="18.0"/>
      <color rgb="FF000000"/>
      <name val="Arial"/>
      <scheme val="minor"/>
    </font>
    <font>
      <i/>
      <sz val="12.0"/>
      <color rgb="FF980000"/>
      <name val="Arial"/>
      <scheme val="minor"/>
    </font>
    <font>
      <color theme="1"/>
      <name val="Arial"/>
    </font>
    <font>
      <b/>
      <i/>
      <sz val="15.0"/>
      <color theme="1"/>
      <name val="Arial"/>
      <scheme val="minor"/>
    </font>
  </fonts>
  <fills count="9">
    <fill>
      <patternFill patternType="none"/>
    </fill>
    <fill>
      <patternFill patternType="lightGray"/>
    </fill>
    <fill>
      <patternFill patternType="solid">
        <fgColor rgb="FFFCE5CD"/>
        <bgColor rgb="FFFCE5CD"/>
      </patternFill>
    </fill>
    <fill>
      <patternFill patternType="solid">
        <fgColor rgb="FFFFF2CC"/>
        <bgColor rgb="FFFFF2CC"/>
      </patternFill>
    </fill>
    <fill>
      <patternFill patternType="solid">
        <fgColor rgb="FFFFFFFF"/>
        <bgColor rgb="FFFFFFFF"/>
      </patternFill>
    </fill>
    <fill>
      <patternFill patternType="solid">
        <fgColor rgb="FFCFE2F3"/>
        <bgColor rgb="FFCFE2F3"/>
      </patternFill>
    </fill>
    <fill>
      <patternFill patternType="solid">
        <fgColor rgb="FFD9D2E9"/>
        <bgColor rgb="FFD9D2E9"/>
      </patternFill>
    </fill>
    <fill>
      <patternFill patternType="solid">
        <fgColor rgb="FFC9DAF8"/>
        <bgColor rgb="FFC9DAF8"/>
      </patternFill>
    </fill>
    <fill>
      <patternFill patternType="solid">
        <fgColor rgb="FFEFEFEF"/>
        <bgColor rgb="FFEFEFEF"/>
      </patternFill>
    </fill>
  </fills>
  <borders count="1">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readingOrder="0" shrinkToFit="0" vertical="top" wrapText="1"/>
    </xf>
    <xf borderId="0" fillId="0" fontId="3" numFmtId="0" xfId="0" applyAlignment="1" applyFont="1">
      <alignment horizontal="center" readingOrder="0" vertical="center"/>
    </xf>
    <xf borderId="0" fillId="2" fontId="4" numFmtId="0" xfId="0" applyAlignment="1" applyFont="1">
      <alignment horizontal="center" readingOrder="0"/>
    </xf>
    <xf borderId="0" fillId="0" fontId="5" numFmtId="4" xfId="0" applyFont="1" applyNumberFormat="1"/>
    <xf borderId="0" fillId="0" fontId="6" numFmtId="0" xfId="0" applyAlignment="1" applyFont="1">
      <alignment readingOrder="0"/>
    </xf>
    <xf borderId="0" fillId="0" fontId="5" numFmtId="0" xfId="0" applyAlignment="1" applyFont="1">
      <alignment readingOrder="0"/>
    </xf>
    <xf borderId="0" fillId="0" fontId="5" numFmtId="0" xfId="0" applyAlignment="1" applyFont="1">
      <alignment horizontal="left" readingOrder="0" shrinkToFit="0" vertical="center" wrapText="0"/>
    </xf>
    <xf borderId="0" fillId="0" fontId="5" numFmtId="4" xfId="0" applyAlignment="1" applyFont="1" applyNumberFormat="1">
      <alignment horizontal="left" readingOrder="0" shrinkToFit="0" vertical="center" wrapText="0"/>
    </xf>
    <xf borderId="0" fillId="0" fontId="5" numFmtId="0" xfId="0" applyAlignment="1" applyFont="1">
      <alignment horizontal="left" readingOrder="0" shrinkToFit="0" vertical="center" wrapText="0"/>
    </xf>
    <xf borderId="0" fillId="0" fontId="7" numFmtId="164" xfId="0" applyAlignment="1" applyFont="1" applyNumberFormat="1">
      <alignment readingOrder="0" shrinkToFit="0" vertical="center" wrapText="0"/>
    </xf>
    <xf borderId="0" fillId="0" fontId="5" numFmtId="0" xfId="0" applyAlignment="1" applyFont="1">
      <alignment readingOrder="0" shrinkToFit="0" vertical="center" wrapText="0"/>
    </xf>
    <xf borderId="0" fillId="0" fontId="5" numFmtId="0" xfId="0" applyAlignment="1" applyFont="1">
      <alignment shrinkToFit="0" vertical="center" wrapText="0"/>
    </xf>
    <xf borderId="0" fillId="0" fontId="5" numFmtId="0" xfId="0" applyAlignment="1" applyFont="1">
      <alignment readingOrder="0" shrinkToFit="0" vertical="center" wrapText="0"/>
    </xf>
    <xf borderId="0" fillId="0" fontId="5" numFmtId="4" xfId="0" applyAlignment="1" applyFont="1" applyNumberFormat="1">
      <alignment readingOrder="0" shrinkToFit="0" vertical="center" wrapText="0"/>
    </xf>
    <xf borderId="0" fillId="0" fontId="7" numFmtId="0" xfId="0" applyAlignment="1" applyFont="1">
      <alignment readingOrder="0" shrinkToFit="0" vertical="center" wrapText="0"/>
    </xf>
    <xf borderId="0" fillId="0" fontId="8" numFmtId="0" xfId="0" applyAlignment="1" applyFont="1">
      <alignment readingOrder="0" vertical="top"/>
    </xf>
    <xf borderId="0" fillId="3" fontId="9" numFmtId="0" xfId="0" applyAlignment="1" applyFill="1" applyFont="1">
      <alignment horizontal="center" readingOrder="0"/>
    </xf>
    <xf borderId="0" fillId="4" fontId="6" numFmtId="0" xfId="0" applyAlignment="1" applyFill="1" applyFont="1">
      <alignment readingOrder="0"/>
    </xf>
    <xf borderId="0" fillId="0" fontId="5" numFmtId="164" xfId="0" applyAlignment="1" applyFont="1" applyNumberFormat="1">
      <alignment readingOrder="0" shrinkToFit="0" vertical="center" wrapText="0"/>
    </xf>
    <xf borderId="0" fillId="0" fontId="5" numFmtId="0" xfId="0" applyAlignment="1" applyFont="1">
      <alignment readingOrder="0" shrinkToFit="0" vertical="center" wrapText="0"/>
    </xf>
    <xf borderId="0" fillId="0" fontId="5" numFmtId="0" xfId="0" applyAlignment="1" applyFont="1">
      <alignment shrinkToFit="0" vertical="center" wrapText="0"/>
    </xf>
    <xf borderId="0" fillId="0" fontId="5" numFmtId="164" xfId="0" applyAlignment="1" applyFont="1" applyNumberFormat="1">
      <alignment shrinkToFit="0" vertical="center" wrapText="0"/>
    </xf>
    <xf borderId="0" fillId="0" fontId="10" numFmtId="0" xfId="0" applyAlignment="1" applyFont="1">
      <alignment readingOrder="0" vertical="top"/>
    </xf>
    <xf borderId="0" fillId="5" fontId="11" numFmtId="0" xfId="0" applyAlignment="1" applyFill="1" applyFont="1">
      <alignment horizontal="center" readingOrder="0"/>
    </xf>
    <xf borderId="0" fillId="0" fontId="12" numFmtId="0" xfId="0" applyAlignment="1" applyFont="1">
      <alignment readingOrder="0"/>
    </xf>
    <xf borderId="0" fillId="0" fontId="7" numFmtId="0" xfId="0" applyAlignment="1" applyFont="1">
      <alignment readingOrder="0" shrinkToFit="0" vertical="center" wrapText="0"/>
    </xf>
    <xf borderId="0" fillId="0" fontId="5" numFmtId="0" xfId="0" applyAlignment="1" applyFont="1">
      <alignment shrinkToFit="0" vertical="center" wrapText="0"/>
    </xf>
    <xf borderId="0" fillId="0" fontId="5" numFmtId="0" xfId="0" applyAlignment="1" applyFont="1">
      <alignment shrinkToFit="0" vertical="center" wrapText="0"/>
    </xf>
    <xf borderId="0" fillId="6" fontId="13" numFmtId="0" xfId="0" applyAlignment="1" applyFill="1" applyFont="1">
      <alignment horizontal="center" readingOrder="0"/>
    </xf>
    <xf borderId="0" fillId="0" fontId="12" numFmtId="0" xfId="0" applyAlignment="1" applyFont="1">
      <alignment horizontal="left" readingOrder="0" vertical="top"/>
    </xf>
    <xf borderId="0" fillId="4" fontId="5" numFmtId="0" xfId="0" applyAlignment="1" applyFont="1">
      <alignment readingOrder="0" shrinkToFit="0" vertical="center" wrapText="0"/>
    </xf>
    <xf borderId="0" fillId="0" fontId="5" numFmtId="164" xfId="0" applyAlignment="1" applyFont="1" applyNumberFormat="1">
      <alignment readingOrder="0"/>
    </xf>
    <xf borderId="0" fillId="0" fontId="5" numFmtId="0" xfId="0" applyFont="1"/>
    <xf borderId="0" fillId="0" fontId="14" numFmtId="0" xfId="0" applyAlignment="1" applyFont="1">
      <alignment readingOrder="0"/>
    </xf>
    <xf borderId="0" fillId="3" fontId="13" numFmtId="0" xfId="0" applyAlignment="1" applyFont="1">
      <alignment horizontal="center" readingOrder="0"/>
    </xf>
    <xf borderId="0" fillId="0" fontId="12" numFmtId="0" xfId="0" applyAlignment="1" applyFont="1">
      <alignment readingOrder="0" vertical="top"/>
    </xf>
    <xf borderId="0" fillId="0" fontId="15" numFmtId="0" xfId="0" applyAlignment="1" applyFont="1">
      <alignment horizontal="left" readingOrder="0" shrinkToFit="0" vertical="bottom" wrapText="0"/>
    </xf>
    <xf borderId="0" fillId="0" fontId="15" numFmtId="0" xfId="0" applyAlignment="1" applyFont="1">
      <alignment vertical="bottom"/>
    </xf>
    <xf borderId="0" fillId="0" fontId="5" numFmtId="0" xfId="0" applyAlignment="1" applyFont="1">
      <alignment shrinkToFit="0" vertical="center" wrapText="0"/>
    </xf>
    <xf borderId="0" fillId="0" fontId="5" numFmtId="0" xfId="0" applyFont="1"/>
    <xf borderId="0" fillId="7" fontId="16" numFmtId="0" xfId="0" applyAlignment="1" applyFill="1" applyFont="1">
      <alignment horizontal="center" readingOrder="0"/>
    </xf>
    <xf borderId="0" fillId="0" fontId="6" numFmtId="0" xfId="0" applyAlignment="1" applyFont="1">
      <alignment readingOrder="0" vertical="top"/>
    </xf>
    <xf borderId="0" fillId="0" fontId="7" numFmtId="0" xfId="0" applyAlignment="1" applyFont="1">
      <alignment horizontal="center" readingOrder="0" vertical="center"/>
    </xf>
    <xf borderId="0" fillId="8" fontId="9" numFmtId="0" xfId="0" applyAlignment="1" applyFill="1" applyFont="1">
      <alignment horizontal="center" readingOrder="0"/>
    </xf>
    <xf borderId="0" fillId="0" fontId="7" numFmtId="0" xfId="0" applyAlignment="1" applyFont="1">
      <alignment horizontal="left" readingOrder="0" shrinkToFit="0" vertical="center" wrapText="0"/>
    </xf>
  </cellXfs>
  <cellStyles count="1">
    <cellStyle xfId="0" name="Normal" builtinId="0"/>
  </cellStyles>
  <dxfs count="1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F9900"/>
          <bgColor rgb="FFFF9900"/>
        </patternFill>
      </fill>
      <border/>
    </dxf>
    <dxf>
      <font/>
      <fill>
        <patternFill patternType="solid">
          <fgColor rgb="FFFF0000"/>
          <bgColor rgb="FFFF0000"/>
        </patternFill>
      </fill>
      <border/>
    </dxf>
    <dxf>
      <font/>
      <fill>
        <patternFill patternType="solid">
          <fgColor rgb="FFFFFF00"/>
          <bgColor rgb="FFFFFF00"/>
        </patternFill>
      </fill>
      <border/>
    </dxf>
    <dxf>
      <font/>
      <fill>
        <patternFill patternType="solid">
          <fgColor rgb="FF6AA84F"/>
          <bgColor rgb="FF6AA84F"/>
        </patternFill>
      </fill>
      <border/>
    </dxf>
    <dxf>
      <font/>
      <fill>
        <patternFill patternType="solid">
          <fgColor rgb="FF00FF00"/>
          <bgColor rgb="FF00FF00"/>
        </patternFill>
      </fill>
      <border/>
    </dxf>
    <dxf>
      <font/>
      <fill>
        <patternFill patternType="solid">
          <fgColor rgb="FFE06666"/>
          <bgColor rgb="FFE06666"/>
        </patternFill>
      </fill>
      <border/>
    </dxf>
    <dxf>
      <font/>
      <fill>
        <patternFill patternType="solid">
          <fgColor rgb="FFB7E1CD"/>
          <bgColor rgb="FFB7E1CD"/>
        </patternFill>
      </fill>
      <border/>
    </dxf>
    <dxf>
      <font/>
      <fill>
        <patternFill patternType="solid">
          <fgColor theme="5"/>
          <bgColor theme="5"/>
        </patternFill>
      </fill>
      <border/>
    </dxf>
    <dxf>
      <font>
        <color rgb="FFFF0000"/>
      </font>
      <fill>
        <patternFill patternType="solid">
          <fgColor rgb="FFB6D7A8"/>
          <bgColor rgb="FFB6D7A8"/>
        </patternFill>
      </fill>
      <border/>
    </dxf>
    <dxf>
      <font>
        <color rgb="FFEA4335"/>
      </font>
      <fill>
        <patternFill patternType="solid">
          <fgColor rgb="FFB6D7A8"/>
          <bgColor rgb="FFB6D7A8"/>
        </patternFill>
      </fill>
      <border/>
    </dxf>
    <dxf>
      <font>
        <color rgb="FFFF0000"/>
      </font>
      <fill>
        <patternFill patternType="solid">
          <fgColor rgb="FFFFFFFF"/>
          <bgColor rgb="FFFFFFFF"/>
        </patternFill>
      </fill>
      <border/>
    </dxf>
    <dxf>
      <font/>
      <fill>
        <patternFill patternType="solid">
          <fgColor rgb="FF93C47D"/>
          <bgColor rgb="FF93C47D"/>
        </patternFill>
      </fill>
      <border/>
    </dxf>
    <dxf>
      <font/>
      <fill>
        <patternFill patternType="solid">
          <fgColor rgb="FF6D9EEB"/>
          <bgColor rgb="FF6D9EEB"/>
        </patternFill>
      </fill>
      <border/>
    </dxf>
  </dxfs>
  <tableStyles count="7">
    <tableStyle count="4" pivot="0" name="High Risk Medicines-style">
      <tableStyleElement dxfId="1" type="headerRow"/>
      <tableStyleElement dxfId="2" type="firstRowStripe"/>
      <tableStyleElement dxfId="3" type="secondRowStripe"/>
      <tableStyleElement dxfId="4" size="0" type="wholeTable"/>
    </tableStyle>
    <tableStyle count="4" pivot="0" name="Name Variants-style">
      <tableStyleElement dxfId="1" type="headerRow"/>
      <tableStyleElement dxfId="2" type="firstRowStripe"/>
      <tableStyleElement dxfId="3" type="secondRowStripe"/>
      <tableStyleElement dxfId="4" size="0" type="wholeTable"/>
    </tableStyle>
    <tableStyle count="4" pivot="0" name="Sales Mapped-style">
      <tableStyleElement dxfId="1" type="headerRow"/>
      <tableStyleElement dxfId="2" type="firstRowStripe"/>
      <tableStyleElement dxfId="3" type="secondRowStripe"/>
      <tableStyleElement dxfId="4" size="0" type="wholeTable"/>
    </tableStyle>
    <tableStyle count="4" pivot="0" name="Daily Checklist-style">
      <tableStyleElement dxfId="1" type="headerRow"/>
      <tableStyleElement dxfId="2" type="firstRowStripe"/>
      <tableStyleElement dxfId="3" type="secondRowStripe"/>
      <tableStyleElement dxfId="4" size="0" type="wholeTable"/>
    </tableStyle>
    <tableStyle count="4" pivot="0" name="Daily Reconciliation-style">
      <tableStyleElement dxfId="1" type="headerRow"/>
      <tableStyleElement dxfId="2" type="firstRowStripe"/>
      <tableStyleElement dxfId="3" type="secondRowStripe"/>
      <tableStyleElement dxfId="4" size="0" type="wholeTable"/>
    </tableStyle>
    <tableStyle count="4" pivot="0" name="Error Log-style">
      <tableStyleElement dxfId="1" type="headerRow"/>
      <tableStyleElement dxfId="2" type="firstRowStripe"/>
      <tableStyleElement dxfId="3" type="secondRowStripe"/>
      <tableStyleElement dxfId="4" size="0" type="wholeTable"/>
    </tableStyle>
    <tableStyle count="4" pivot="0" name="Doctor Escalation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285875" cy="12858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800100</xdr:colOff>
      <xdr:row>0</xdr:row>
      <xdr:rowOff>200025</xdr:rowOff>
    </xdr:from>
    <xdr:ext cx="1543050" cy="1362075"/>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685800</xdr:colOff>
      <xdr:row>1</xdr:row>
      <xdr:rowOff>123825</xdr:rowOff>
    </xdr:from>
    <xdr:ext cx="1590675" cy="1352550"/>
    <xdr:pic>
      <xdr:nvPicPr>
        <xdr:cNvPr id="0" name="image3.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238125</xdr:colOff>
      <xdr:row>1</xdr:row>
      <xdr:rowOff>66675</xdr:rowOff>
    </xdr:from>
    <xdr:ext cx="1657350" cy="1409700"/>
    <xdr:pic>
      <xdr:nvPicPr>
        <xdr:cNvPr id="0" name="image4.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180975</xdr:colOff>
      <xdr:row>1</xdr:row>
      <xdr:rowOff>85725</xdr:rowOff>
    </xdr:from>
    <xdr:ext cx="1466850" cy="1304925"/>
    <xdr:pic>
      <xdr:nvPicPr>
        <xdr:cNvPr id="0" name="image6.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590550</xdr:colOff>
      <xdr:row>1</xdr:row>
      <xdr:rowOff>133350</xdr:rowOff>
    </xdr:from>
    <xdr:ext cx="1343025" cy="1219200"/>
    <xdr:pic>
      <xdr:nvPicPr>
        <xdr:cNvPr id="0" name="image5.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866775</xdr:colOff>
      <xdr:row>1</xdr:row>
      <xdr:rowOff>47625</xdr:rowOff>
    </xdr:from>
    <xdr:ext cx="1552575" cy="1343025"/>
    <xdr:pic>
      <xdr:nvPicPr>
        <xdr:cNvPr id="0" name="image7.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47625</xdr:colOff>
      <xdr:row>1</xdr:row>
      <xdr:rowOff>19050</xdr:rowOff>
    </xdr:from>
    <xdr:ext cx="1400175" cy="1238250"/>
    <xdr:pic>
      <xdr:nvPicPr>
        <xdr:cNvPr id="0" name="image8.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ref="B8:J13" displayName="High_Risk_Medicine" name="High_Risk_Medicine" id="1">
  <tableColumns count="9">
    <tableColumn name="Date" id="1"/>
    <tableColumn name="Medicine ID" id="2"/>
    <tableColumn name="Canonical Name ( Official Name )" id="3"/>
    <tableColumn name="Normalized Key" id="4"/>
    <tableColumn name="Risk Level" id="5"/>
    <tableColumn name="Unit" id="6"/>
    <tableColumn name="Why High Risk" id="7"/>
    <tableColumn name="Tolerance" id="8"/>
    <tableColumn name="Active" id="9"/>
  </tableColumns>
  <tableStyleInfo name="High Risk Medicines-style" showColumnStripes="0" showFirstColumn="1" showLastColumn="1" showRowStripes="1"/>
</table>
</file>

<file path=xl/tables/table2.xml><?xml version="1.0" encoding="utf-8"?>
<table xmlns="http://schemas.openxmlformats.org/spreadsheetml/2006/main" ref="B11:H16" displayName="Name_Variants" name="Name_Variants" id="2">
  <tableColumns count="7">
    <tableColumn name="Entered Name" id="1"/>
    <tableColumn name="Normalized Key" id="2"/>
    <tableColumn name="Canonical Name ( Official Name )" id="3"/>
    <tableColumn name="Reason (Spelling / Abbrev / Dosage / Case)" id="4"/>
    <tableColumn name="First Seen Date" id="5"/>
    <tableColumn name="Seen Before?" id="6"/>
    <tableColumn name="Action Taken" id="7"/>
  </tableColumns>
  <tableStyleInfo name="Name Variants-style" showColumnStripes="0" showFirstColumn="1" showLastColumn="1" showRowStripes="1"/>
</table>
</file>

<file path=xl/tables/table3.xml><?xml version="1.0" encoding="utf-8"?>
<table xmlns="http://schemas.openxmlformats.org/spreadsheetml/2006/main" ref="B9:I15" displayName="Sales_Mapped" name="Sales_Mapped" id="3">
  <tableColumns count="8">
    <tableColumn name="Date" id="1"/>
    <tableColumn name="Bill No" id="2"/>
    <tableColumn name="Entered Name" id="3"/>
    <tableColumn name="Normalized Key" id="4"/>
    <tableColumn name="Canonical Name ( Official Name )" id="5"/>
    <tableColumn name="Mapping Status" id="6"/>
    <tableColumn name="Invoice No" id="7"/>
    <tableColumn name="Sold Qty" id="8"/>
  </tableColumns>
  <tableStyleInfo name="Sales Mapped-style" showColumnStripes="0" showFirstColumn="1" showLastColumn="1" showRowStripes="1"/>
</table>
</file>

<file path=xl/tables/table4.xml><?xml version="1.0" encoding="utf-8"?>
<table xmlns="http://schemas.openxmlformats.org/spreadsheetml/2006/main" ref="B10:J14" displayName="Daily_Checklist" name="Daily_Checklist" id="4">
  <tableColumns count="9">
    <tableColumn name=" Date" id="1"/>
    <tableColumn name="Bill No" id="2"/>
    <tableColumn name="Canonical Name ( Official Name )" id="3"/>
    <tableColumn name="Sold Qty" id="4"/>
    <tableColumn name="Prescription Match?" id="5"/>
    <tableColumn name="Name Correct?" id="6"/>
    <tableColumn name="Issue Type" id="7"/>
    <tableColumn name="Corrected?" id="8"/>
    <tableColumn name="Remarks" id="9"/>
  </tableColumns>
  <tableStyleInfo name="Daily Checklist-style" showColumnStripes="0" showFirstColumn="1" showLastColumn="1" showRowStripes="1"/>
</table>
</file>

<file path=xl/tables/table5.xml><?xml version="1.0" encoding="utf-8"?>
<table xmlns="http://schemas.openxmlformats.org/spreadsheetml/2006/main" ref="B9:K13" displayName="Table1" name="Table1" id="5">
  <tableColumns count="10">
    <tableColumn name="Date" id="1"/>
    <tableColumn name="Canonical Name ( Official Name )" id="2"/>
    <tableColumn name="Opening Stock" id="3"/>
    <tableColumn name="Purchased" id="4"/>
    <tableColumn name="Sold" id="5"/>
    <tableColumn name="Expected Closing" id="6"/>
    <tableColumn name="Actual Closing" id="7"/>
    <tableColumn name="Difference" id="8"/>
    <tableColumn name="Tolerance" id="9"/>
    <tableColumn name="Status (OK / REVIEW)" id="10"/>
  </tableColumns>
  <tableStyleInfo name="Daily Reconciliation-style" showColumnStripes="0" showFirstColumn="1" showLastColumn="1" showRowStripes="1"/>
</table>
</file>

<file path=xl/tables/table6.xml><?xml version="1.0" encoding="utf-8"?>
<table xmlns="http://schemas.openxmlformats.org/spreadsheetml/2006/main" ref="B9:K13" displayName="Error_Log" name="Error_Log" id="6">
  <tableColumns count="10">
    <tableColumn name="Date" id="1"/>
    <tableColumn name="Medicine - Canonical Name ( Official Name )" id="2"/>
    <tableColumn name="Error_Type (Name / Qty / Pattern)" id="3"/>
    <tableColumn name="Source" id="4"/>
    <tableColumn name="Description" id="5"/>
    <tableColumn name="Bill No" id="6"/>
    <tableColumn name="Impact" id="7"/>
    <tableColumn name="Action Taken?" id="8"/>
    <tableColumn name="Repeated?" id="9"/>
    <tableColumn name="STATUS" id="10"/>
  </tableColumns>
  <tableStyleInfo name="Error Log-style" showColumnStripes="0" showFirstColumn="1" showLastColumn="1" showRowStripes="1"/>
</table>
</file>

<file path=xl/tables/table7.xml><?xml version="1.0" encoding="utf-8"?>
<table xmlns="http://schemas.openxmlformats.org/spreadsheetml/2006/main" ref="B9:H14" displayName="Doctor_Escalations" name="Doctor_Escalations" id="7">
  <tableColumns count="7">
    <tableColumn name="Date" id="1"/>
    <tableColumn name="Medicine - Canonical Name ( Official Name )" id="2"/>
    <tableColumn name="Issue Summary" id="3"/>
    <tableColumn name="Financial Impact" id="4"/>
    <tableColumn name="Doctor Notified?" id="5"/>
    <tableColumn name="Resolution" id="6"/>
    <tableColumn name="Status" id="7"/>
  </tableColumns>
  <tableStyleInfo name="Doctor Escala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5" max="5" width="17.88"/>
  </cols>
  <sheetData>
    <row r="1">
      <c r="A1" s="1" t="s">
        <v>0</v>
      </c>
    </row>
    <row r="7">
      <c r="B7" s="2" t="s">
        <v>1</v>
      </c>
    </row>
    <row r="21">
      <c r="J21" s="3" t="s">
        <v>2</v>
      </c>
    </row>
  </sheetData>
  <mergeCells count="3">
    <mergeCell ref="A1:N1"/>
    <mergeCell ref="B7:M17"/>
    <mergeCell ref="J21:M23"/>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25"/>
    <col customWidth="1" min="4" max="4" width="30.13"/>
    <col customWidth="1" min="5" max="5" width="17.13"/>
    <col customWidth="1" min="6" max="6" width="16.13"/>
    <col customWidth="1" min="8" max="8" width="23.88"/>
    <col customWidth="1" min="10" max="10" width="13.38"/>
  </cols>
  <sheetData>
    <row r="1" ht="18.75" customHeight="1">
      <c r="A1" s="4" t="s">
        <v>3</v>
      </c>
    </row>
    <row r="2">
      <c r="I2" s="5"/>
      <c r="M2" s="3" t="s">
        <v>2</v>
      </c>
    </row>
    <row r="3" ht="32.25" customHeight="1">
      <c r="B3" s="6" t="s">
        <v>4</v>
      </c>
      <c r="I3" s="5"/>
    </row>
    <row r="4" ht="30.0" customHeight="1">
      <c r="I4" s="5"/>
    </row>
    <row r="5" ht="42.0" customHeight="1">
      <c r="I5" s="5"/>
    </row>
    <row r="6">
      <c r="I6" s="5"/>
    </row>
    <row r="7">
      <c r="I7" s="5"/>
    </row>
    <row r="8" ht="22.5" customHeight="1">
      <c r="A8" s="7"/>
      <c r="B8" s="8" t="s">
        <v>5</v>
      </c>
      <c r="C8" s="8" t="s">
        <v>6</v>
      </c>
      <c r="D8" s="8" t="s">
        <v>7</v>
      </c>
      <c r="E8" s="8" t="s">
        <v>8</v>
      </c>
      <c r="F8" s="8" t="s">
        <v>9</v>
      </c>
      <c r="G8" s="8" t="s">
        <v>10</v>
      </c>
      <c r="H8" s="8" t="s">
        <v>11</v>
      </c>
      <c r="I8" s="9" t="s">
        <v>12</v>
      </c>
      <c r="J8" s="10" t="s">
        <v>13</v>
      </c>
    </row>
    <row r="9" ht="22.5" customHeight="1">
      <c r="B9" s="11">
        <v>46023.0</v>
      </c>
      <c r="C9" s="12" t="s">
        <v>14</v>
      </c>
      <c r="D9" s="12" t="s">
        <v>15</v>
      </c>
      <c r="E9" s="13" t="str">
        <f>IFERROR(__xludf.DUMMYFUNCTION("LOWER(REGEXREPLACE(TRIM(CLEAN(D9)),""[^A-Za-z0-9]"",""""))"),"dolo650")</f>
        <v>dolo650</v>
      </c>
      <c r="F9" s="14" t="s">
        <v>16</v>
      </c>
      <c r="G9" s="14" t="s">
        <v>17</v>
      </c>
      <c r="H9" s="12" t="s">
        <v>18</v>
      </c>
      <c r="I9" s="15">
        <v>2.0</v>
      </c>
      <c r="J9" s="14" t="s">
        <v>19</v>
      </c>
    </row>
    <row r="10" ht="22.5" customHeight="1">
      <c r="B10" s="11">
        <v>46024.0</v>
      </c>
      <c r="C10" s="12" t="s">
        <v>20</v>
      </c>
      <c r="D10" s="12" t="s">
        <v>21</v>
      </c>
      <c r="E10" s="13" t="str">
        <f>IFERROR(__xludf.DUMMYFUNCTION("LOWER(REGEXREPLACE(TRIM(CLEAN(D10)),""[^A-Za-z0-9]"",""""))"),"azithromycin500")</f>
        <v>azithromycin500</v>
      </c>
      <c r="F10" s="14" t="s">
        <v>22</v>
      </c>
      <c r="G10" s="14" t="s">
        <v>23</v>
      </c>
      <c r="H10" s="12" t="s">
        <v>24</v>
      </c>
      <c r="I10" s="15">
        <v>2.0</v>
      </c>
      <c r="J10" s="14" t="s">
        <v>19</v>
      </c>
    </row>
    <row r="11" ht="22.5" customHeight="1">
      <c r="B11" s="11">
        <v>46025.0</v>
      </c>
      <c r="C11" s="12" t="s">
        <v>25</v>
      </c>
      <c r="D11" s="12" t="s">
        <v>26</v>
      </c>
      <c r="E11" s="13" t="str">
        <f>IFERROR(__xludf.DUMMYFUNCTION("LOWER(REGEXREPLACE(TRIM(CLEAN(D11)),""[^A-Za-z0-9]"",""""))"),"pantoprazole40")</f>
        <v>pantoprazole40</v>
      </c>
      <c r="F11" s="14" t="s">
        <v>27</v>
      </c>
      <c r="G11" s="14" t="s">
        <v>17</v>
      </c>
      <c r="H11" s="12" t="s">
        <v>28</v>
      </c>
      <c r="I11" s="15">
        <v>3.0</v>
      </c>
      <c r="J11" s="14" t="s">
        <v>19</v>
      </c>
    </row>
    <row r="12" ht="22.5" customHeight="1">
      <c r="B12" s="11">
        <v>46026.0</v>
      </c>
      <c r="C12" s="12" t="s">
        <v>29</v>
      </c>
      <c r="D12" s="12" t="s">
        <v>30</v>
      </c>
      <c r="E12" s="13" t="str">
        <f>IFERROR(__xludf.DUMMYFUNCTION("LOWER(REGEXREPLACE(TRIM(CLEAN(D12)),""[^A-Za-z0-9]"",""""))"),"cetirizine10")</f>
        <v>cetirizine10</v>
      </c>
      <c r="F12" s="14" t="s">
        <v>27</v>
      </c>
      <c r="G12" s="14" t="s">
        <v>17</v>
      </c>
      <c r="H12" s="12" t="s">
        <v>18</v>
      </c>
      <c r="I12" s="15">
        <v>3.0</v>
      </c>
      <c r="J12" s="14" t="s">
        <v>19</v>
      </c>
    </row>
    <row r="13" ht="22.5" customHeight="1">
      <c r="B13" s="11">
        <v>46027.0</v>
      </c>
      <c r="C13" s="12" t="s">
        <v>31</v>
      </c>
      <c r="D13" s="12" t="s">
        <v>32</v>
      </c>
      <c r="E13" s="13" t="str">
        <f>IFERROR(__xludf.DUMMYFUNCTION("LOWER(REGEXREPLACE(TRIM(CLEAN(D13)),""[^A-Za-z0-9]"",""""))"),"dolo650mg")</f>
        <v>dolo650mg</v>
      </c>
      <c r="F13" s="16" t="s">
        <v>33</v>
      </c>
      <c r="G13" s="14" t="s">
        <v>23</v>
      </c>
      <c r="H13" s="12" t="s">
        <v>18</v>
      </c>
      <c r="I13" s="15">
        <v>2.0</v>
      </c>
      <c r="J13" s="14" t="s">
        <v>19</v>
      </c>
    </row>
    <row r="14">
      <c r="I14" s="5"/>
    </row>
    <row r="15">
      <c r="I15" s="5"/>
    </row>
    <row r="16">
      <c r="I16" s="5"/>
    </row>
    <row r="17">
      <c r="I17" s="5"/>
    </row>
    <row r="18">
      <c r="I18" s="5"/>
    </row>
    <row r="19">
      <c r="I19" s="5"/>
    </row>
    <row r="20">
      <c r="B20" s="17" t="s">
        <v>34</v>
      </c>
      <c r="I20" s="5"/>
    </row>
    <row r="21">
      <c r="I21" s="5"/>
    </row>
    <row r="22">
      <c r="I22" s="5"/>
    </row>
    <row r="23">
      <c r="I23" s="5"/>
    </row>
    <row r="24">
      <c r="I24" s="5"/>
    </row>
    <row r="25">
      <c r="I25" s="5"/>
    </row>
    <row r="26">
      <c r="I26" s="5"/>
    </row>
    <row r="27">
      <c r="I27" s="5"/>
    </row>
    <row r="28">
      <c r="I28" s="5"/>
    </row>
    <row r="29">
      <c r="I29" s="5"/>
    </row>
    <row r="30">
      <c r="I30" s="5"/>
    </row>
    <row r="31">
      <c r="I31" s="5"/>
    </row>
    <row r="32">
      <c r="I32" s="5"/>
    </row>
    <row r="33">
      <c r="I33" s="5"/>
    </row>
    <row r="34">
      <c r="I34" s="5"/>
    </row>
    <row r="35">
      <c r="I35" s="5"/>
    </row>
    <row r="36">
      <c r="I36" s="5"/>
    </row>
    <row r="37">
      <c r="I37" s="5"/>
    </row>
    <row r="38">
      <c r="I38" s="5"/>
    </row>
    <row r="39">
      <c r="I39" s="5"/>
    </row>
    <row r="40">
      <c r="I40" s="5"/>
    </row>
    <row r="41">
      <c r="I41" s="5"/>
    </row>
    <row r="42">
      <c r="I42" s="5"/>
    </row>
    <row r="43">
      <c r="I43" s="5"/>
    </row>
    <row r="44">
      <c r="I44" s="5"/>
    </row>
    <row r="45">
      <c r="I45" s="5"/>
    </row>
    <row r="46">
      <c r="I46" s="5"/>
    </row>
    <row r="47">
      <c r="I47" s="5"/>
    </row>
    <row r="48">
      <c r="I48" s="5"/>
    </row>
    <row r="49">
      <c r="I49" s="5"/>
    </row>
    <row r="50">
      <c r="I50" s="5"/>
    </row>
    <row r="51">
      <c r="I51" s="5"/>
    </row>
    <row r="52">
      <c r="I52" s="5"/>
    </row>
    <row r="53">
      <c r="I53" s="5"/>
    </row>
    <row r="54">
      <c r="I54" s="5"/>
    </row>
    <row r="55">
      <c r="I55" s="5"/>
    </row>
    <row r="56">
      <c r="I56" s="5"/>
    </row>
    <row r="57">
      <c r="I57" s="5"/>
    </row>
    <row r="58">
      <c r="I58" s="5"/>
    </row>
    <row r="59">
      <c r="I59" s="5"/>
    </row>
    <row r="60">
      <c r="I60" s="5"/>
    </row>
    <row r="61">
      <c r="I61" s="5"/>
    </row>
    <row r="62">
      <c r="I62" s="5"/>
    </row>
    <row r="63">
      <c r="I63" s="5"/>
    </row>
    <row r="64">
      <c r="I64" s="5"/>
    </row>
    <row r="65">
      <c r="I65" s="5"/>
    </row>
    <row r="66">
      <c r="I66" s="5"/>
    </row>
    <row r="67">
      <c r="I67" s="5"/>
    </row>
    <row r="68">
      <c r="I68" s="5"/>
    </row>
    <row r="69">
      <c r="I69" s="5"/>
    </row>
    <row r="70">
      <c r="I70" s="5"/>
    </row>
    <row r="71">
      <c r="I71" s="5"/>
    </row>
    <row r="72">
      <c r="I72" s="5"/>
    </row>
    <row r="73">
      <c r="I73" s="5"/>
    </row>
    <row r="74">
      <c r="I74" s="5"/>
    </row>
    <row r="75">
      <c r="I75" s="5"/>
    </row>
    <row r="76">
      <c r="I76" s="5"/>
    </row>
    <row r="77">
      <c r="I77" s="5"/>
    </row>
    <row r="78">
      <c r="I78" s="5"/>
    </row>
    <row r="79">
      <c r="I79" s="5"/>
    </row>
    <row r="80">
      <c r="I80" s="5"/>
    </row>
    <row r="81">
      <c r="I81" s="5"/>
    </row>
    <row r="82">
      <c r="I82" s="5"/>
    </row>
    <row r="83">
      <c r="I83" s="5"/>
    </row>
    <row r="84">
      <c r="I84" s="5"/>
    </row>
    <row r="85">
      <c r="I85" s="5"/>
    </row>
    <row r="86">
      <c r="I86" s="5"/>
    </row>
    <row r="87">
      <c r="I87" s="5"/>
    </row>
    <row r="88">
      <c r="I88" s="5"/>
    </row>
    <row r="89">
      <c r="I89" s="5"/>
    </row>
    <row r="90">
      <c r="I90" s="5"/>
    </row>
    <row r="91">
      <c r="I91" s="5"/>
    </row>
    <row r="92">
      <c r="I92" s="5"/>
    </row>
    <row r="93">
      <c r="I93" s="5"/>
    </row>
    <row r="94">
      <c r="I94" s="5"/>
    </row>
    <row r="95">
      <c r="I95" s="5"/>
    </row>
    <row r="96">
      <c r="I96" s="5"/>
    </row>
    <row r="97">
      <c r="I97" s="5"/>
    </row>
    <row r="98">
      <c r="I98" s="5"/>
    </row>
    <row r="99">
      <c r="I99" s="5"/>
    </row>
    <row r="100">
      <c r="I100" s="5"/>
    </row>
    <row r="101">
      <c r="I101" s="5"/>
    </row>
    <row r="102">
      <c r="I102" s="5"/>
    </row>
    <row r="103">
      <c r="I103" s="5"/>
    </row>
    <row r="104">
      <c r="I104" s="5"/>
    </row>
    <row r="105">
      <c r="I105" s="5"/>
    </row>
    <row r="106">
      <c r="I106" s="5"/>
    </row>
    <row r="107">
      <c r="I107" s="5"/>
    </row>
    <row r="108">
      <c r="I108" s="5"/>
    </row>
    <row r="109">
      <c r="I109" s="5"/>
    </row>
    <row r="110">
      <c r="I110" s="5"/>
    </row>
    <row r="111">
      <c r="I111" s="5"/>
    </row>
    <row r="112">
      <c r="I112" s="5"/>
    </row>
    <row r="113">
      <c r="I113" s="5"/>
    </row>
    <row r="114">
      <c r="I114" s="5"/>
    </row>
    <row r="115">
      <c r="I115" s="5"/>
    </row>
    <row r="116">
      <c r="I116" s="5"/>
    </row>
    <row r="117">
      <c r="I117" s="5"/>
    </row>
    <row r="118">
      <c r="I118" s="5"/>
    </row>
    <row r="119">
      <c r="I119" s="5"/>
    </row>
    <row r="120">
      <c r="I120" s="5"/>
    </row>
    <row r="121">
      <c r="I121" s="5"/>
    </row>
    <row r="122">
      <c r="I122" s="5"/>
    </row>
    <row r="123">
      <c r="I123" s="5"/>
    </row>
    <row r="124">
      <c r="I124" s="5"/>
    </row>
    <row r="125">
      <c r="I125" s="5"/>
    </row>
    <row r="126">
      <c r="I126" s="5"/>
    </row>
    <row r="127">
      <c r="I127" s="5"/>
    </row>
    <row r="128">
      <c r="I128" s="5"/>
    </row>
    <row r="129">
      <c r="I129" s="5"/>
    </row>
    <row r="130">
      <c r="I130" s="5"/>
    </row>
    <row r="131">
      <c r="I131" s="5"/>
    </row>
    <row r="132">
      <c r="I132" s="5"/>
    </row>
    <row r="133">
      <c r="I133" s="5"/>
    </row>
    <row r="134">
      <c r="I134" s="5"/>
    </row>
    <row r="135">
      <c r="I135" s="5"/>
    </row>
    <row r="136">
      <c r="I136" s="5"/>
    </row>
    <row r="137">
      <c r="I137" s="5"/>
    </row>
    <row r="138">
      <c r="I138" s="5"/>
    </row>
    <row r="139">
      <c r="I139" s="5"/>
    </row>
    <row r="140">
      <c r="I140" s="5"/>
    </row>
    <row r="141">
      <c r="I141" s="5"/>
    </row>
    <row r="142">
      <c r="I142" s="5"/>
    </row>
    <row r="143">
      <c r="I143" s="5"/>
    </row>
    <row r="144">
      <c r="I144" s="5"/>
    </row>
    <row r="145">
      <c r="I145" s="5"/>
    </row>
    <row r="146">
      <c r="I146" s="5"/>
    </row>
    <row r="147">
      <c r="I147" s="5"/>
    </row>
    <row r="148">
      <c r="I148" s="5"/>
    </row>
    <row r="149">
      <c r="I149" s="5"/>
    </row>
    <row r="150">
      <c r="I150" s="5"/>
    </row>
    <row r="151">
      <c r="I151" s="5"/>
    </row>
    <row r="152">
      <c r="I152" s="5"/>
    </row>
    <row r="153">
      <c r="I153" s="5"/>
    </row>
    <row r="154">
      <c r="I154" s="5"/>
    </row>
    <row r="155">
      <c r="I155" s="5"/>
    </row>
    <row r="156">
      <c r="I156" s="5"/>
    </row>
    <row r="157">
      <c r="I157" s="5"/>
    </row>
    <row r="158">
      <c r="I158" s="5"/>
    </row>
    <row r="159">
      <c r="I159" s="5"/>
    </row>
    <row r="160">
      <c r="I160" s="5"/>
    </row>
    <row r="161">
      <c r="I161" s="5"/>
    </row>
    <row r="162">
      <c r="I162" s="5"/>
    </row>
    <row r="163">
      <c r="I163" s="5"/>
    </row>
    <row r="164">
      <c r="I164" s="5"/>
    </row>
    <row r="165">
      <c r="I165" s="5"/>
    </row>
    <row r="166">
      <c r="I166" s="5"/>
    </row>
    <row r="167">
      <c r="I167" s="5"/>
    </row>
    <row r="168">
      <c r="I168" s="5"/>
    </row>
    <row r="169">
      <c r="I169" s="5"/>
    </row>
    <row r="170">
      <c r="I170" s="5"/>
    </row>
    <row r="171">
      <c r="I171" s="5"/>
    </row>
    <row r="172">
      <c r="I172" s="5"/>
    </row>
    <row r="173">
      <c r="I173" s="5"/>
    </row>
    <row r="174">
      <c r="I174" s="5"/>
    </row>
    <row r="175">
      <c r="I175" s="5"/>
    </row>
    <row r="176">
      <c r="I176" s="5"/>
    </row>
    <row r="177">
      <c r="I177" s="5"/>
    </row>
    <row r="178">
      <c r="I178" s="5"/>
    </row>
    <row r="179">
      <c r="I179" s="5"/>
    </row>
    <row r="180">
      <c r="I180" s="5"/>
    </row>
    <row r="181">
      <c r="I181" s="5"/>
    </row>
    <row r="182">
      <c r="I182" s="5"/>
    </row>
    <row r="183">
      <c r="I183" s="5"/>
    </row>
    <row r="184">
      <c r="I184" s="5"/>
    </row>
    <row r="185">
      <c r="I185" s="5"/>
    </row>
    <row r="186">
      <c r="I186" s="5"/>
    </row>
    <row r="187">
      <c r="I187" s="5"/>
    </row>
    <row r="188">
      <c r="I188" s="5"/>
    </row>
    <row r="189">
      <c r="I189" s="5"/>
    </row>
    <row r="190">
      <c r="I190" s="5"/>
    </row>
    <row r="191">
      <c r="I191" s="5"/>
    </row>
    <row r="192">
      <c r="I192" s="5"/>
    </row>
    <row r="193">
      <c r="I193" s="5"/>
    </row>
    <row r="194">
      <c r="I194" s="5"/>
    </row>
    <row r="195">
      <c r="I195" s="5"/>
    </row>
    <row r="196">
      <c r="I196" s="5"/>
    </row>
    <row r="197">
      <c r="I197" s="5"/>
    </row>
    <row r="198">
      <c r="I198" s="5"/>
    </row>
    <row r="199">
      <c r="I199" s="5"/>
    </row>
    <row r="200">
      <c r="I200" s="5"/>
    </row>
    <row r="201">
      <c r="I201" s="5"/>
    </row>
    <row r="202">
      <c r="I202" s="5"/>
    </row>
    <row r="203">
      <c r="I203" s="5"/>
    </row>
    <row r="204">
      <c r="I204" s="5"/>
    </row>
    <row r="205">
      <c r="I205" s="5"/>
    </row>
    <row r="206">
      <c r="I206" s="5"/>
    </row>
    <row r="207">
      <c r="I207" s="5"/>
    </row>
    <row r="208">
      <c r="I208" s="5"/>
    </row>
    <row r="209">
      <c r="I209" s="5"/>
    </row>
    <row r="210">
      <c r="I210" s="5"/>
    </row>
    <row r="211">
      <c r="I211" s="5"/>
    </row>
    <row r="212">
      <c r="I212" s="5"/>
    </row>
    <row r="213">
      <c r="I213" s="5"/>
    </row>
    <row r="214">
      <c r="I214" s="5"/>
    </row>
    <row r="215">
      <c r="I215" s="5"/>
    </row>
    <row r="216">
      <c r="I216" s="5"/>
    </row>
    <row r="217">
      <c r="I217" s="5"/>
    </row>
    <row r="218">
      <c r="I218" s="5"/>
    </row>
    <row r="219">
      <c r="I219" s="5"/>
    </row>
    <row r="220">
      <c r="I220" s="5"/>
    </row>
    <row r="221">
      <c r="I221" s="5"/>
    </row>
    <row r="222">
      <c r="I222" s="5"/>
    </row>
    <row r="223">
      <c r="I223" s="5"/>
    </row>
    <row r="224">
      <c r="I224" s="5"/>
    </row>
    <row r="225">
      <c r="I225" s="5"/>
    </row>
    <row r="226">
      <c r="I226" s="5"/>
    </row>
    <row r="227">
      <c r="I227" s="5"/>
    </row>
    <row r="228">
      <c r="I228" s="5"/>
    </row>
    <row r="229">
      <c r="I229" s="5"/>
    </row>
    <row r="230">
      <c r="I230" s="5"/>
    </row>
    <row r="231">
      <c r="I231" s="5"/>
    </row>
    <row r="232">
      <c r="I232" s="5"/>
    </row>
    <row r="233">
      <c r="I233" s="5"/>
    </row>
    <row r="234">
      <c r="I234" s="5"/>
    </row>
    <row r="235">
      <c r="I235" s="5"/>
    </row>
    <row r="236">
      <c r="I236" s="5"/>
    </row>
    <row r="237">
      <c r="I237" s="5"/>
    </row>
    <row r="238">
      <c r="I238" s="5"/>
    </row>
    <row r="239">
      <c r="I239" s="5"/>
    </row>
    <row r="240">
      <c r="I240" s="5"/>
    </row>
    <row r="241">
      <c r="I241" s="5"/>
    </row>
    <row r="242">
      <c r="I242" s="5"/>
    </row>
    <row r="243">
      <c r="I243" s="5"/>
    </row>
    <row r="244">
      <c r="I244" s="5"/>
    </row>
    <row r="245">
      <c r="I245" s="5"/>
    </row>
    <row r="246">
      <c r="I246" s="5"/>
    </row>
    <row r="247">
      <c r="I247" s="5"/>
    </row>
    <row r="248">
      <c r="I248" s="5"/>
    </row>
    <row r="249">
      <c r="I249" s="5"/>
    </row>
    <row r="250">
      <c r="I250" s="5"/>
    </row>
    <row r="251">
      <c r="I251" s="5"/>
    </row>
    <row r="252">
      <c r="I252" s="5"/>
    </row>
    <row r="253">
      <c r="I253" s="5"/>
    </row>
    <row r="254">
      <c r="I254" s="5"/>
    </row>
    <row r="255">
      <c r="I255" s="5"/>
    </row>
    <row r="256">
      <c r="I256" s="5"/>
    </row>
    <row r="257">
      <c r="I257" s="5"/>
    </row>
    <row r="258">
      <c r="I258" s="5"/>
    </row>
    <row r="259">
      <c r="I259" s="5"/>
    </row>
    <row r="260">
      <c r="I260" s="5"/>
    </row>
    <row r="261">
      <c r="I261" s="5"/>
    </row>
    <row r="262">
      <c r="I262" s="5"/>
    </row>
    <row r="263">
      <c r="I263" s="5"/>
    </row>
    <row r="264">
      <c r="I264" s="5"/>
    </row>
    <row r="265">
      <c r="I265" s="5"/>
    </row>
    <row r="266">
      <c r="I266" s="5"/>
    </row>
    <row r="267">
      <c r="I267" s="5"/>
    </row>
    <row r="268">
      <c r="I268" s="5"/>
    </row>
    <row r="269">
      <c r="I269" s="5"/>
    </row>
    <row r="270">
      <c r="I270" s="5"/>
    </row>
    <row r="271">
      <c r="I271" s="5"/>
    </row>
    <row r="272">
      <c r="I272" s="5"/>
    </row>
    <row r="273">
      <c r="I273" s="5"/>
    </row>
    <row r="274">
      <c r="I274" s="5"/>
    </row>
    <row r="275">
      <c r="I275" s="5"/>
    </row>
    <row r="276">
      <c r="I276" s="5"/>
    </row>
    <row r="277">
      <c r="I277" s="5"/>
    </row>
    <row r="278">
      <c r="I278" s="5"/>
    </row>
    <row r="279">
      <c r="I279" s="5"/>
    </row>
    <row r="280">
      <c r="I280" s="5"/>
    </row>
    <row r="281">
      <c r="I281" s="5"/>
    </row>
    <row r="282">
      <c r="I282" s="5"/>
    </row>
    <row r="283">
      <c r="I283" s="5"/>
    </row>
    <row r="284">
      <c r="I284" s="5"/>
    </row>
    <row r="285">
      <c r="I285" s="5"/>
    </row>
    <row r="286">
      <c r="I286" s="5"/>
    </row>
    <row r="287">
      <c r="I287" s="5"/>
    </row>
    <row r="288">
      <c r="I288" s="5"/>
    </row>
    <row r="289">
      <c r="I289" s="5"/>
    </row>
    <row r="290">
      <c r="I290" s="5"/>
    </row>
    <row r="291">
      <c r="I291" s="5"/>
    </row>
    <row r="292">
      <c r="I292" s="5"/>
    </row>
    <row r="293">
      <c r="I293" s="5"/>
    </row>
    <row r="294">
      <c r="I294" s="5"/>
    </row>
    <row r="295">
      <c r="I295" s="5"/>
    </row>
    <row r="296">
      <c r="I296" s="5"/>
    </row>
    <row r="297">
      <c r="I297" s="5"/>
    </row>
    <row r="298">
      <c r="I298" s="5"/>
    </row>
    <row r="299">
      <c r="I299" s="5"/>
    </row>
    <row r="300">
      <c r="I300" s="5"/>
    </row>
    <row r="301">
      <c r="I301" s="5"/>
    </row>
    <row r="302">
      <c r="I302" s="5"/>
    </row>
    <row r="303">
      <c r="I303" s="5"/>
    </row>
    <row r="304">
      <c r="I304" s="5"/>
    </row>
    <row r="305">
      <c r="I305" s="5"/>
    </row>
    <row r="306">
      <c r="I306" s="5"/>
    </row>
    <row r="307">
      <c r="I307" s="5"/>
    </row>
    <row r="308">
      <c r="I308" s="5"/>
    </row>
    <row r="309">
      <c r="I309" s="5"/>
    </row>
    <row r="310">
      <c r="I310" s="5"/>
    </row>
    <row r="311">
      <c r="I311" s="5"/>
    </row>
    <row r="312">
      <c r="I312" s="5"/>
    </row>
    <row r="313">
      <c r="I313" s="5"/>
    </row>
    <row r="314">
      <c r="I314" s="5"/>
    </row>
    <row r="315">
      <c r="I315" s="5"/>
    </row>
    <row r="316">
      <c r="I316" s="5"/>
    </row>
    <row r="317">
      <c r="I317" s="5"/>
    </row>
    <row r="318">
      <c r="I318" s="5"/>
    </row>
    <row r="319">
      <c r="I319" s="5"/>
    </row>
    <row r="320">
      <c r="I320" s="5"/>
    </row>
    <row r="321">
      <c r="I321" s="5"/>
    </row>
    <row r="322">
      <c r="I322" s="5"/>
    </row>
    <row r="323">
      <c r="I323" s="5"/>
    </row>
    <row r="324">
      <c r="I324" s="5"/>
    </row>
    <row r="325">
      <c r="I325" s="5"/>
    </row>
    <row r="326">
      <c r="I326" s="5"/>
    </row>
    <row r="327">
      <c r="I327" s="5"/>
    </row>
    <row r="328">
      <c r="I328" s="5"/>
    </row>
    <row r="329">
      <c r="I329" s="5"/>
    </row>
    <row r="330">
      <c r="I330" s="5"/>
    </row>
    <row r="331">
      <c r="I331" s="5"/>
    </row>
    <row r="332">
      <c r="I332" s="5"/>
    </row>
    <row r="333">
      <c r="I333" s="5"/>
    </row>
    <row r="334">
      <c r="I334" s="5"/>
    </row>
    <row r="335">
      <c r="I335" s="5"/>
    </row>
    <row r="336">
      <c r="I336" s="5"/>
    </row>
    <row r="337">
      <c r="I337" s="5"/>
    </row>
    <row r="338">
      <c r="I338" s="5"/>
    </row>
    <row r="339">
      <c r="I339" s="5"/>
    </row>
    <row r="340">
      <c r="I340" s="5"/>
    </row>
    <row r="341">
      <c r="I341" s="5"/>
    </row>
    <row r="342">
      <c r="I342" s="5"/>
    </row>
    <row r="343">
      <c r="I343" s="5"/>
    </row>
    <row r="344">
      <c r="I344" s="5"/>
    </row>
    <row r="345">
      <c r="I345" s="5"/>
    </row>
    <row r="346">
      <c r="I346" s="5"/>
    </row>
    <row r="347">
      <c r="I347" s="5"/>
    </row>
    <row r="348">
      <c r="I348" s="5"/>
    </row>
    <row r="349">
      <c r="I349" s="5"/>
    </row>
    <row r="350">
      <c r="I350" s="5"/>
    </row>
    <row r="351">
      <c r="I351" s="5"/>
    </row>
    <row r="352">
      <c r="I352" s="5"/>
    </row>
    <row r="353">
      <c r="I353" s="5"/>
    </row>
    <row r="354">
      <c r="I354" s="5"/>
    </row>
    <row r="355">
      <c r="I355" s="5"/>
    </row>
    <row r="356">
      <c r="I356" s="5"/>
    </row>
    <row r="357">
      <c r="I357" s="5"/>
    </row>
    <row r="358">
      <c r="I358" s="5"/>
    </row>
    <row r="359">
      <c r="I359" s="5"/>
    </row>
    <row r="360">
      <c r="I360" s="5"/>
    </row>
    <row r="361">
      <c r="I361" s="5"/>
    </row>
    <row r="362">
      <c r="I362" s="5"/>
    </row>
    <row r="363">
      <c r="I363" s="5"/>
    </row>
    <row r="364">
      <c r="I364" s="5"/>
    </row>
    <row r="365">
      <c r="I365" s="5"/>
    </row>
    <row r="366">
      <c r="I366" s="5"/>
    </row>
    <row r="367">
      <c r="I367" s="5"/>
    </row>
    <row r="368">
      <c r="I368" s="5"/>
    </row>
    <row r="369">
      <c r="I369" s="5"/>
    </row>
    <row r="370">
      <c r="I370" s="5"/>
    </row>
    <row r="371">
      <c r="I371" s="5"/>
    </row>
    <row r="372">
      <c r="I372" s="5"/>
    </row>
    <row r="373">
      <c r="I373" s="5"/>
    </row>
    <row r="374">
      <c r="I374" s="5"/>
    </row>
    <row r="375">
      <c r="I375" s="5"/>
    </row>
    <row r="376">
      <c r="I376" s="5"/>
    </row>
    <row r="377">
      <c r="I377" s="5"/>
    </row>
    <row r="378">
      <c r="I378" s="5"/>
    </row>
    <row r="379">
      <c r="I379" s="5"/>
    </row>
    <row r="380">
      <c r="I380" s="5"/>
    </row>
    <row r="381">
      <c r="I381" s="5"/>
    </row>
    <row r="382">
      <c r="I382" s="5"/>
    </row>
    <row r="383">
      <c r="I383" s="5"/>
    </row>
    <row r="384">
      <c r="I384" s="5"/>
    </row>
    <row r="385">
      <c r="I385" s="5"/>
    </row>
    <row r="386">
      <c r="I386" s="5"/>
    </row>
    <row r="387">
      <c r="I387" s="5"/>
    </row>
    <row r="388">
      <c r="I388" s="5"/>
    </row>
    <row r="389">
      <c r="I389" s="5"/>
    </row>
    <row r="390">
      <c r="I390" s="5"/>
    </row>
    <row r="391">
      <c r="I391" s="5"/>
    </row>
    <row r="392">
      <c r="I392" s="5"/>
    </row>
    <row r="393">
      <c r="I393" s="5"/>
    </row>
    <row r="394">
      <c r="I394" s="5"/>
    </row>
    <row r="395">
      <c r="I395" s="5"/>
    </row>
    <row r="396">
      <c r="I396" s="5"/>
    </row>
    <row r="397">
      <c r="I397" s="5"/>
    </row>
    <row r="398">
      <c r="I398" s="5"/>
    </row>
    <row r="399">
      <c r="I399" s="5"/>
    </row>
    <row r="400">
      <c r="I400" s="5"/>
    </row>
    <row r="401">
      <c r="I401" s="5"/>
    </row>
    <row r="402">
      <c r="I402" s="5"/>
    </row>
    <row r="403">
      <c r="I403" s="5"/>
    </row>
    <row r="404">
      <c r="I404" s="5"/>
    </row>
    <row r="405">
      <c r="I405" s="5"/>
    </row>
    <row r="406">
      <c r="I406" s="5"/>
    </row>
    <row r="407">
      <c r="I407" s="5"/>
    </row>
    <row r="408">
      <c r="I408" s="5"/>
    </row>
    <row r="409">
      <c r="I409" s="5"/>
    </row>
    <row r="410">
      <c r="I410" s="5"/>
    </row>
    <row r="411">
      <c r="I411" s="5"/>
    </row>
    <row r="412">
      <c r="I412" s="5"/>
    </row>
    <row r="413">
      <c r="I413" s="5"/>
    </row>
    <row r="414">
      <c r="I414" s="5"/>
    </row>
    <row r="415">
      <c r="I415" s="5"/>
    </row>
    <row r="416">
      <c r="I416" s="5"/>
    </row>
    <row r="417">
      <c r="I417" s="5"/>
    </row>
    <row r="418">
      <c r="I418" s="5"/>
    </row>
    <row r="419">
      <c r="I419" s="5"/>
    </row>
    <row r="420">
      <c r="I420" s="5"/>
    </row>
    <row r="421">
      <c r="I421" s="5"/>
    </row>
    <row r="422">
      <c r="I422" s="5"/>
    </row>
    <row r="423">
      <c r="I423" s="5"/>
    </row>
    <row r="424">
      <c r="I424" s="5"/>
    </row>
    <row r="425">
      <c r="I425" s="5"/>
    </row>
    <row r="426">
      <c r="I426" s="5"/>
    </row>
    <row r="427">
      <c r="I427" s="5"/>
    </row>
    <row r="428">
      <c r="I428" s="5"/>
    </row>
    <row r="429">
      <c r="I429" s="5"/>
    </row>
    <row r="430">
      <c r="I430" s="5"/>
    </row>
    <row r="431">
      <c r="I431" s="5"/>
    </row>
    <row r="432">
      <c r="I432" s="5"/>
    </row>
    <row r="433">
      <c r="I433" s="5"/>
    </row>
    <row r="434">
      <c r="I434" s="5"/>
    </row>
    <row r="435">
      <c r="I435" s="5"/>
    </row>
    <row r="436">
      <c r="I436" s="5"/>
    </row>
    <row r="437">
      <c r="I437" s="5"/>
    </row>
    <row r="438">
      <c r="I438" s="5"/>
    </row>
    <row r="439">
      <c r="I439" s="5"/>
    </row>
    <row r="440">
      <c r="I440" s="5"/>
    </row>
    <row r="441">
      <c r="I441" s="5"/>
    </row>
    <row r="442">
      <c r="I442" s="5"/>
    </row>
    <row r="443">
      <c r="I443" s="5"/>
    </row>
    <row r="444">
      <c r="I444" s="5"/>
    </row>
    <row r="445">
      <c r="I445" s="5"/>
    </row>
    <row r="446">
      <c r="I446" s="5"/>
    </row>
    <row r="447">
      <c r="I447" s="5"/>
    </row>
    <row r="448">
      <c r="I448" s="5"/>
    </row>
    <row r="449">
      <c r="I449" s="5"/>
    </row>
    <row r="450">
      <c r="I450" s="5"/>
    </row>
    <row r="451">
      <c r="I451" s="5"/>
    </row>
    <row r="452">
      <c r="I452" s="5"/>
    </row>
    <row r="453">
      <c r="I453" s="5"/>
    </row>
    <row r="454">
      <c r="I454" s="5"/>
    </row>
    <row r="455">
      <c r="I455" s="5"/>
    </row>
    <row r="456">
      <c r="I456" s="5"/>
    </row>
    <row r="457">
      <c r="I457" s="5"/>
    </row>
    <row r="458">
      <c r="I458" s="5"/>
    </row>
    <row r="459">
      <c r="I459" s="5"/>
    </row>
    <row r="460">
      <c r="I460" s="5"/>
    </row>
    <row r="461">
      <c r="I461" s="5"/>
    </row>
    <row r="462">
      <c r="I462" s="5"/>
    </row>
    <row r="463">
      <c r="I463" s="5"/>
    </row>
    <row r="464">
      <c r="I464" s="5"/>
    </row>
    <row r="465">
      <c r="I465" s="5"/>
    </row>
    <row r="466">
      <c r="I466" s="5"/>
    </row>
    <row r="467">
      <c r="I467" s="5"/>
    </row>
    <row r="468">
      <c r="I468" s="5"/>
    </row>
    <row r="469">
      <c r="I469" s="5"/>
    </row>
    <row r="470">
      <c r="I470" s="5"/>
    </row>
    <row r="471">
      <c r="I471" s="5"/>
    </row>
    <row r="472">
      <c r="I472" s="5"/>
    </row>
    <row r="473">
      <c r="I473" s="5"/>
    </row>
    <row r="474">
      <c r="I474" s="5"/>
    </row>
    <row r="475">
      <c r="I475" s="5"/>
    </row>
    <row r="476">
      <c r="I476" s="5"/>
    </row>
    <row r="477">
      <c r="I477" s="5"/>
    </row>
    <row r="478">
      <c r="I478" s="5"/>
    </row>
    <row r="479">
      <c r="I479" s="5"/>
    </row>
    <row r="480">
      <c r="I480" s="5"/>
    </row>
    <row r="481">
      <c r="I481" s="5"/>
    </row>
    <row r="482">
      <c r="I482" s="5"/>
    </row>
    <row r="483">
      <c r="I483" s="5"/>
    </row>
    <row r="484">
      <c r="I484" s="5"/>
    </row>
    <row r="485">
      <c r="I485" s="5"/>
    </row>
    <row r="486">
      <c r="I486" s="5"/>
    </row>
    <row r="487">
      <c r="I487" s="5"/>
    </row>
    <row r="488">
      <c r="I488" s="5"/>
    </row>
    <row r="489">
      <c r="I489" s="5"/>
    </row>
    <row r="490">
      <c r="I490" s="5"/>
    </row>
    <row r="491">
      <c r="I491" s="5"/>
    </row>
    <row r="492">
      <c r="I492" s="5"/>
    </row>
    <row r="493">
      <c r="I493" s="5"/>
    </row>
    <row r="494">
      <c r="I494" s="5"/>
    </row>
    <row r="495">
      <c r="I495" s="5"/>
    </row>
    <row r="496">
      <c r="I496" s="5"/>
    </row>
    <row r="497">
      <c r="I497" s="5"/>
    </row>
    <row r="498">
      <c r="I498" s="5"/>
    </row>
    <row r="499">
      <c r="I499" s="5"/>
    </row>
    <row r="500">
      <c r="I500" s="5"/>
    </row>
    <row r="501">
      <c r="I501" s="5"/>
    </row>
    <row r="502">
      <c r="I502" s="5"/>
    </row>
    <row r="503">
      <c r="I503" s="5"/>
    </row>
    <row r="504">
      <c r="I504" s="5"/>
    </row>
    <row r="505">
      <c r="I505" s="5"/>
    </row>
    <row r="506">
      <c r="I506" s="5"/>
    </row>
    <row r="507">
      <c r="I507" s="5"/>
    </row>
    <row r="508">
      <c r="I508" s="5"/>
    </row>
    <row r="509">
      <c r="I509" s="5"/>
    </row>
    <row r="510">
      <c r="I510" s="5"/>
    </row>
    <row r="511">
      <c r="I511" s="5"/>
    </row>
    <row r="512">
      <c r="I512" s="5"/>
    </row>
    <row r="513">
      <c r="I513" s="5"/>
    </row>
    <row r="514">
      <c r="I514" s="5"/>
    </row>
    <row r="515">
      <c r="I515" s="5"/>
    </row>
    <row r="516">
      <c r="I516" s="5"/>
    </row>
    <row r="517">
      <c r="I517" s="5"/>
    </row>
    <row r="518">
      <c r="I518" s="5"/>
    </row>
    <row r="519">
      <c r="I519" s="5"/>
    </row>
    <row r="520">
      <c r="I520" s="5"/>
    </row>
    <row r="521">
      <c r="I521" s="5"/>
    </row>
    <row r="522">
      <c r="I522" s="5"/>
    </row>
    <row r="523">
      <c r="I523" s="5"/>
    </row>
    <row r="524">
      <c r="I524" s="5"/>
    </row>
    <row r="525">
      <c r="I525" s="5"/>
    </row>
    <row r="526">
      <c r="I526" s="5"/>
    </row>
    <row r="527">
      <c r="I527" s="5"/>
    </row>
    <row r="528">
      <c r="I528" s="5"/>
    </row>
    <row r="529">
      <c r="I529" s="5"/>
    </row>
    <row r="530">
      <c r="I530" s="5"/>
    </row>
    <row r="531">
      <c r="I531" s="5"/>
    </row>
    <row r="532">
      <c r="I532" s="5"/>
    </row>
    <row r="533">
      <c r="I533" s="5"/>
    </row>
    <row r="534">
      <c r="I534" s="5"/>
    </row>
    <row r="535">
      <c r="I535" s="5"/>
    </row>
    <row r="536">
      <c r="I536" s="5"/>
    </row>
    <row r="537">
      <c r="I537" s="5"/>
    </row>
    <row r="538">
      <c r="I538" s="5"/>
    </row>
    <row r="539">
      <c r="I539" s="5"/>
    </row>
    <row r="540">
      <c r="I540" s="5"/>
    </row>
    <row r="541">
      <c r="I541" s="5"/>
    </row>
    <row r="542">
      <c r="I542" s="5"/>
    </row>
    <row r="543">
      <c r="I543" s="5"/>
    </row>
    <row r="544">
      <c r="I544" s="5"/>
    </row>
    <row r="545">
      <c r="I545" s="5"/>
    </row>
    <row r="546">
      <c r="I546" s="5"/>
    </row>
    <row r="547">
      <c r="I547" s="5"/>
    </row>
    <row r="548">
      <c r="I548" s="5"/>
    </row>
    <row r="549">
      <c r="I549" s="5"/>
    </row>
    <row r="550">
      <c r="I550" s="5"/>
    </row>
    <row r="551">
      <c r="I551" s="5"/>
    </row>
    <row r="552">
      <c r="I552" s="5"/>
    </row>
    <row r="553">
      <c r="I553" s="5"/>
    </row>
    <row r="554">
      <c r="I554" s="5"/>
    </row>
    <row r="555">
      <c r="I555" s="5"/>
    </row>
    <row r="556">
      <c r="I556" s="5"/>
    </row>
    <row r="557">
      <c r="I557" s="5"/>
    </row>
    <row r="558">
      <c r="I558" s="5"/>
    </row>
    <row r="559">
      <c r="I559" s="5"/>
    </row>
    <row r="560">
      <c r="I560" s="5"/>
    </row>
    <row r="561">
      <c r="I561" s="5"/>
    </row>
    <row r="562">
      <c r="I562" s="5"/>
    </row>
    <row r="563">
      <c r="I563" s="5"/>
    </row>
    <row r="564">
      <c r="I564" s="5"/>
    </row>
    <row r="565">
      <c r="I565" s="5"/>
    </row>
    <row r="566">
      <c r="I566" s="5"/>
    </row>
    <row r="567">
      <c r="I567" s="5"/>
    </row>
    <row r="568">
      <c r="I568" s="5"/>
    </row>
    <row r="569">
      <c r="I569" s="5"/>
    </row>
    <row r="570">
      <c r="I570" s="5"/>
    </row>
    <row r="571">
      <c r="I571" s="5"/>
    </row>
    <row r="572">
      <c r="I572" s="5"/>
    </row>
    <row r="573">
      <c r="I573" s="5"/>
    </row>
    <row r="574">
      <c r="I574" s="5"/>
    </row>
    <row r="575">
      <c r="I575" s="5"/>
    </row>
    <row r="576">
      <c r="I576" s="5"/>
    </row>
    <row r="577">
      <c r="I577" s="5"/>
    </row>
    <row r="578">
      <c r="I578" s="5"/>
    </row>
    <row r="579">
      <c r="I579" s="5"/>
    </row>
    <row r="580">
      <c r="I580" s="5"/>
    </row>
    <row r="581">
      <c r="I581" s="5"/>
    </row>
    <row r="582">
      <c r="I582" s="5"/>
    </row>
    <row r="583">
      <c r="I583" s="5"/>
    </row>
    <row r="584">
      <c r="I584" s="5"/>
    </row>
    <row r="585">
      <c r="I585" s="5"/>
    </row>
    <row r="586">
      <c r="I586" s="5"/>
    </row>
    <row r="587">
      <c r="I587" s="5"/>
    </row>
    <row r="588">
      <c r="I588" s="5"/>
    </row>
    <row r="589">
      <c r="I589" s="5"/>
    </row>
    <row r="590">
      <c r="I590" s="5"/>
    </row>
    <row r="591">
      <c r="I591" s="5"/>
    </row>
    <row r="592">
      <c r="I592" s="5"/>
    </row>
    <row r="593">
      <c r="I593" s="5"/>
    </row>
    <row r="594">
      <c r="I594" s="5"/>
    </row>
    <row r="595">
      <c r="I595" s="5"/>
    </row>
    <row r="596">
      <c r="I596" s="5"/>
    </row>
    <row r="597">
      <c r="I597" s="5"/>
    </row>
    <row r="598">
      <c r="I598" s="5"/>
    </row>
    <row r="599">
      <c r="I599" s="5"/>
    </row>
    <row r="600">
      <c r="I600" s="5"/>
    </row>
    <row r="601">
      <c r="I601" s="5"/>
    </row>
    <row r="602">
      <c r="I602" s="5"/>
    </row>
    <row r="603">
      <c r="I603" s="5"/>
    </row>
    <row r="604">
      <c r="I604" s="5"/>
    </row>
    <row r="605">
      <c r="I605" s="5"/>
    </row>
    <row r="606">
      <c r="I606" s="5"/>
    </row>
    <row r="607">
      <c r="I607" s="5"/>
    </row>
    <row r="608">
      <c r="I608" s="5"/>
    </row>
    <row r="609">
      <c r="I609" s="5"/>
    </row>
    <row r="610">
      <c r="I610" s="5"/>
    </row>
    <row r="611">
      <c r="I611" s="5"/>
    </row>
    <row r="612">
      <c r="I612" s="5"/>
    </row>
    <row r="613">
      <c r="I613" s="5"/>
    </row>
    <row r="614">
      <c r="I614" s="5"/>
    </row>
    <row r="615">
      <c r="I615" s="5"/>
    </row>
    <row r="616">
      <c r="I616" s="5"/>
    </row>
    <row r="617">
      <c r="I617" s="5"/>
    </row>
    <row r="618">
      <c r="I618" s="5"/>
    </row>
    <row r="619">
      <c r="I619" s="5"/>
    </row>
    <row r="620">
      <c r="I620" s="5"/>
    </row>
    <row r="621">
      <c r="I621" s="5"/>
    </row>
    <row r="622">
      <c r="I622" s="5"/>
    </row>
    <row r="623">
      <c r="I623" s="5"/>
    </row>
    <row r="624">
      <c r="I624" s="5"/>
    </row>
    <row r="625">
      <c r="I625" s="5"/>
    </row>
    <row r="626">
      <c r="I626" s="5"/>
    </row>
    <row r="627">
      <c r="I627" s="5"/>
    </row>
    <row r="628">
      <c r="I628" s="5"/>
    </row>
    <row r="629">
      <c r="I629" s="5"/>
    </row>
    <row r="630">
      <c r="I630" s="5"/>
    </row>
    <row r="631">
      <c r="I631" s="5"/>
    </row>
    <row r="632">
      <c r="I632" s="5"/>
    </row>
    <row r="633">
      <c r="I633" s="5"/>
    </row>
    <row r="634">
      <c r="I634" s="5"/>
    </row>
    <row r="635">
      <c r="I635" s="5"/>
    </row>
    <row r="636">
      <c r="I636" s="5"/>
    </row>
    <row r="637">
      <c r="I637" s="5"/>
    </row>
    <row r="638">
      <c r="I638" s="5"/>
    </row>
    <row r="639">
      <c r="I639" s="5"/>
    </row>
    <row r="640">
      <c r="I640" s="5"/>
    </row>
    <row r="641">
      <c r="I641" s="5"/>
    </row>
    <row r="642">
      <c r="I642" s="5"/>
    </row>
    <row r="643">
      <c r="I643" s="5"/>
    </row>
    <row r="644">
      <c r="I644" s="5"/>
    </row>
    <row r="645">
      <c r="I645" s="5"/>
    </row>
    <row r="646">
      <c r="I646" s="5"/>
    </row>
    <row r="647">
      <c r="I647" s="5"/>
    </row>
    <row r="648">
      <c r="I648" s="5"/>
    </row>
    <row r="649">
      <c r="I649" s="5"/>
    </row>
    <row r="650">
      <c r="I650" s="5"/>
    </row>
    <row r="651">
      <c r="I651" s="5"/>
    </row>
    <row r="652">
      <c r="I652" s="5"/>
    </row>
    <row r="653">
      <c r="I653" s="5"/>
    </row>
    <row r="654">
      <c r="I654" s="5"/>
    </row>
    <row r="655">
      <c r="I655" s="5"/>
    </row>
    <row r="656">
      <c r="I656" s="5"/>
    </row>
    <row r="657">
      <c r="I657" s="5"/>
    </row>
    <row r="658">
      <c r="I658" s="5"/>
    </row>
    <row r="659">
      <c r="I659" s="5"/>
    </row>
    <row r="660">
      <c r="I660" s="5"/>
    </row>
    <row r="661">
      <c r="I661" s="5"/>
    </row>
    <row r="662">
      <c r="I662" s="5"/>
    </row>
    <row r="663">
      <c r="I663" s="5"/>
    </row>
    <row r="664">
      <c r="I664" s="5"/>
    </row>
    <row r="665">
      <c r="I665" s="5"/>
    </row>
    <row r="666">
      <c r="I666" s="5"/>
    </row>
    <row r="667">
      <c r="I667" s="5"/>
    </row>
    <row r="668">
      <c r="I668" s="5"/>
    </row>
    <row r="669">
      <c r="I669" s="5"/>
    </row>
    <row r="670">
      <c r="I670" s="5"/>
    </row>
    <row r="671">
      <c r="I671" s="5"/>
    </row>
    <row r="672">
      <c r="I672" s="5"/>
    </row>
    <row r="673">
      <c r="I673" s="5"/>
    </row>
    <row r="674">
      <c r="I674" s="5"/>
    </row>
    <row r="675">
      <c r="I675" s="5"/>
    </row>
    <row r="676">
      <c r="I676" s="5"/>
    </row>
    <row r="677">
      <c r="I677" s="5"/>
    </row>
    <row r="678">
      <c r="I678" s="5"/>
    </row>
    <row r="679">
      <c r="I679" s="5"/>
    </row>
    <row r="680">
      <c r="I680" s="5"/>
    </row>
    <row r="681">
      <c r="I681" s="5"/>
    </row>
    <row r="682">
      <c r="I682" s="5"/>
    </row>
    <row r="683">
      <c r="I683" s="5"/>
    </row>
    <row r="684">
      <c r="I684" s="5"/>
    </row>
    <row r="685">
      <c r="I685" s="5"/>
    </row>
    <row r="686">
      <c r="I686" s="5"/>
    </row>
    <row r="687">
      <c r="I687" s="5"/>
    </row>
    <row r="688">
      <c r="I688" s="5"/>
    </row>
    <row r="689">
      <c r="I689" s="5"/>
    </row>
    <row r="690">
      <c r="I690" s="5"/>
    </row>
    <row r="691">
      <c r="I691" s="5"/>
    </row>
    <row r="692">
      <c r="I692" s="5"/>
    </row>
    <row r="693">
      <c r="I693" s="5"/>
    </row>
    <row r="694">
      <c r="I694" s="5"/>
    </row>
    <row r="695">
      <c r="I695" s="5"/>
    </row>
    <row r="696">
      <c r="I696" s="5"/>
    </row>
    <row r="697">
      <c r="I697" s="5"/>
    </row>
    <row r="698">
      <c r="I698" s="5"/>
    </row>
    <row r="699">
      <c r="I699" s="5"/>
    </row>
    <row r="700">
      <c r="I700" s="5"/>
    </row>
    <row r="701">
      <c r="I701" s="5"/>
    </row>
    <row r="702">
      <c r="I702" s="5"/>
    </row>
    <row r="703">
      <c r="I703" s="5"/>
    </row>
    <row r="704">
      <c r="I704" s="5"/>
    </row>
    <row r="705">
      <c r="I705" s="5"/>
    </row>
    <row r="706">
      <c r="I706" s="5"/>
    </row>
    <row r="707">
      <c r="I707" s="5"/>
    </row>
    <row r="708">
      <c r="I708" s="5"/>
    </row>
    <row r="709">
      <c r="I709" s="5"/>
    </row>
    <row r="710">
      <c r="I710" s="5"/>
    </row>
    <row r="711">
      <c r="I711" s="5"/>
    </row>
    <row r="712">
      <c r="I712" s="5"/>
    </row>
    <row r="713">
      <c r="I713" s="5"/>
    </row>
    <row r="714">
      <c r="I714" s="5"/>
    </row>
    <row r="715">
      <c r="I715" s="5"/>
    </row>
    <row r="716">
      <c r="I716" s="5"/>
    </row>
    <row r="717">
      <c r="I717" s="5"/>
    </row>
    <row r="718">
      <c r="I718" s="5"/>
    </row>
    <row r="719">
      <c r="I719" s="5"/>
    </row>
    <row r="720">
      <c r="I720" s="5"/>
    </row>
    <row r="721">
      <c r="I721" s="5"/>
    </row>
    <row r="722">
      <c r="I722" s="5"/>
    </row>
    <row r="723">
      <c r="I723" s="5"/>
    </row>
    <row r="724">
      <c r="I724" s="5"/>
    </row>
    <row r="725">
      <c r="I725" s="5"/>
    </row>
    <row r="726">
      <c r="I726" s="5"/>
    </row>
    <row r="727">
      <c r="I727" s="5"/>
    </row>
    <row r="728">
      <c r="I728" s="5"/>
    </row>
    <row r="729">
      <c r="I729" s="5"/>
    </row>
    <row r="730">
      <c r="I730" s="5"/>
    </row>
    <row r="731">
      <c r="I731" s="5"/>
    </row>
    <row r="732">
      <c r="I732" s="5"/>
    </row>
    <row r="733">
      <c r="I733" s="5"/>
    </row>
    <row r="734">
      <c r="I734" s="5"/>
    </row>
    <row r="735">
      <c r="I735" s="5"/>
    </row>
    <row r="736">
      <c r="I736" s="5"/>
    </row>
    <row r="737">
      <c r="I737" s="5"/>
    </row>
    <row r="738">
      <c r="I738" s="5"/>
    </row>
    <row r="739">
      <c r="I739" s="5"/>
    </row>
    <row r="740">
      <c r="I740" s="5"/>
    </row>
    <row r="741">
      <c r="I741" s="5"/>
    </row>
    <row r="742">
      <c r="I742" s="5"/>
    </row>
    <row r="743">
      <c r="I743" s="5"/>
    </row>
    <row r="744">
      <c r="I744" s="5"/>
    </row>
    <row r="745">
      <c r="I745" s="5"/>
    </row>
    <row r="746">
      <c r="I746" s="5"/>
    </row>
    <row r="747">
      <c r="I747" s="5"/>
    </row>
    <row r="748">
      <c r="I748" s="5"/>
    </row>
    <row r="749">
      <c r="I749" s="5"/>
    </row>
    <row r="750">
      <c r="I750" s="5"/>
    </row>
    <row r="751">
      <c r="I751" s="5"/>
    </row>
    <row r="752">
      <c r="I752" s="5"/>
    </row>
    <row r="753">
      <c r="I753" s="5"/>
    </row>
    <row r="754">
      <c r="I754" s="5"/>
    </row>
    <row r="755">
      <c r="I755" s="5"/>
    </row>
    <row r="756">
      <c r="I756" s="5"/>
    </row>
    <row r="757">
      <c r="I757" s="5"/>
    </row>
    <row r="758">
      <c r="I758" s="5"/>
    </row>
    <row r="759">
      <c r="I759" s="5"/>
    </row>
    <row r="760">
      <c r="I760" s="5"/>
    </row>
    <row r="761">
      <c r="I761" s="5"/>
    </row>
    <row r="762">
      <c r="I762" s="5"/>
    </row>
    <row r="763">
      <c r="I763" s="5"/>
    </row>
    <row r="764">
      <c r="I764" s="5"/>
    </row>
    <row r="765">
      <c r="I765" s="5"/>
    </row>
    <row r="766">
      <c r="I766" s="5"/>
    </row>
    <row r="767">
      <c r="I767" s="5"/>
    </row>
    <row r="768">
      <c r="I768" s="5"/>
    </row>
    <row r="769">
      <c r="I769" s="5"/>
    </row>
    <row r="770">
      <c r="I770" s="5"/>
    </row>
    <row r="771">
      <c r="I771" s="5"/>
    </row>
    <row r="772">
      <c r="I772" s="5"/>
    </row>
    <row r="773">
      <c r="I773" s="5"/>
    </row>
    <row r="774">
      <c r="I774" s="5"/>
    </row>
    <row r="775">
      <c r="I775" s="5"/>
    </row>
    <row r="776">
      <c r="I776" s="5"/>
    </row>
    <row r="777">
      <c r="I777" s="5"/>
    </row>
    <row r="778">
      <c r="I778" s="5"/>
    </row>
    <row r="779">
      <c r="I779" s="5"/>
    </row>
    <row r="780">
      <c r="I780" s="5"/>
    </row>
    <row r="781">
      <c r="I781" s="5"/>
    </row>
    <row r="782">
      <c r="I782" s="5"/>
    </row>
    <row r="783">
      <c r="I783" s="5"/>
    </row>
    <row r="784">
      <c r="I784" s="5"/>
    </row>
    <row r="785">
      <c r="I785" s="5"/>
    </row>
    <row r="786">
      <c r="I786" s="5"/>
    </row>
    <row r="787">
      <c r="I787" s="5"/>
    </row>
    <row r="788">
      <c r="I788" s="5"/>
    </row>
    <row r="789">
      <c r="I789" s="5"/>
    </row>
    <row r="790">
      <c r="I790" s="5"/>
    </row>
    <row r="791">
      <c r="I791" s="5"/>
    </row>
    <row r="792">
      <c r="I792" s="5"/>
    </row>
    <row r="793">
      <c r="I793" s="5"/>
    </row>
    <row r="794">
      <c r="I794" s="5"/>
    </row>
    <row r="795">
      <c r="I795" s="5"/>
    </row>
    <row r="796">
      <c r="I796" s="5"/>
    </row>
    <row r="797">
      <c r="I797" s="5"/>
    </row>
    <row r="798">
      <c r="I798" s="5"/>
    </row>
    <row r="799">
      <c r="I799" s="5"/>
    </row>
    <row r="800">
      <c r="I800" s="5"/>
    </row>
    <row r="801">
      <c r="I801" s="5"/>
    </row>
    <row r="802">
      <c r="I802" s="5"/>
    </row>
    <row r="803">
      <c r="I803" s="5"/>
    </row>
    <row r="804">
      <c r="I804" s="5"/>
    </row>
    <row r="805">
      <c r="I805" s="5"/>
    </row>
    <row r="806">
      <c r="I806" s="5"/>
    </row>
    <row r="807">
      <c r="I807" s="5"/>
    </row>
    <row r="808">
      <c r="I808" s="5"/>
    </row>
    <row r="809">
      <c r="I809" s="5"/>
    </row>
    <row r="810">
      <c r="I810" s="5"/>
    </row>
    <row r="811">
      <c r="I811" s="5"/>
    </row>
    <row r="812">
      <c r="I812" s="5"/>
    </row>
    <row r="813">
      <c r="I813" s="5"/>
    </row>
    <row r="814">
      <c r="I814" s="5"/>
    </row>
    <row r="815">
      <c r="I815" s="5"/>
    </row>
    <row r="816">
      <c r="I816" s="5"/>
    </row>
    <row r="817">
      <c r="I817" s="5"/>
    </row>
    <row r="818">
      <c r="I818" s="5"/>
    </row>
    <row r="819">
      <c r="I819" s="5"/>
    </row>
    <row r="820">
      <c r="I820" s="5"/>
    </row>
    <row r="821">
      <c r="I821" s="5"/>
    </row>
    <row r="822">
      <c r="I822" s="5"/>
    </row>
    <row r="823">
      <c r="I823" s="5"/>
    </row>
    <row r="824">
      <c r="I824" s="5"/>
    </row>
    <row r="825">
      <c r="I825" s="5"/>
    </row>
    <row r="826">
      <c r="I826" s="5"/>
    </row>
    <row r="827">
      <c r="I827" s="5"/>
    </row>
    <row r="828">
      <c r="I828" s="5"/>
    </row>
    <row r="829">
      <c r="I829" s="5"/>
    </row>
    <row r="830">
      <c r="I830" s="5"/>
    </row>
    <row r="831">
      <c r="I831" s="5"/>
    </row>
    <row r="832">
      <c r="I832" s="5"/>
    </row>
    <row r="833">
      <c r="I833" s="5"/>
    </row>
    <row r="834">
      <c r="I834" s="5"/>
    </row>
    <row r="835">
      <c r="I835" s="5"/>
    </row>
    <row r="836">
      <c r="I836" s="5"/>
    </row>
    <row r="837">
      <c r="I837" s="5"/>
    </row>
    <row r="838">
      <c r="I838" s="5"/>
    </row>
    <row r="839">
      <c r="I839" s="5"/>
    </row>
    <row r="840">
      <c r="I840" s="5"/>
    </row>
    <row r="841">
      <c r="I841" s="5"/>
    </row>
    <row r="842">
      <c r="I842" s="5"/>
    </row>
    <row r="843">
      <c r="I843" s="5"/>
    </row>
    <row r="844">
      <c r="I844" s="5"/>
    </row>
    <row r="845">
      <c r="I845" s="5"/>
    </row>
    <row r="846">
      <c r="I846" s="5"/>
    </row>
    <row r="847">
      <c r="I847" s="5"/>
    </row>
    <row r="848">
      <c r="I848" s="5"/>
    </row>
    <row r="849">
      <c r="I849" s="5"/>
    </row>
    <row r="850">
      <c r="I850" s="5"/>
    </row>
    <row r="851">
      <c r="I851" s="5"/>
    </row>
    <row r="852">
      <c r="I852" s="5"/>
    </row>
    <row r="853">
      <c r="I853" s="5"/>
    </row>
    <row r="854">
      <c r="I854" s="5"/>
    </row>
    <row r="855">
      <c r="I855" s="5"/>
    </row>
    <row r="856">
      <c r="I856" s="5"/>
    </row>
    <row r="857">
      <c r="I857" s="5"/>
    </row>
    <row r="858">
      <c r="I858" s="5"/>
    </row>
    <row r="859">
      <c r="I859" s="5"/>
    </row>
    <row r="860">
      <c r="I860" s="5"/>
    </row>
    <row r="861">
      <c r="I861" s="5"/>
    </row>
    <row r="862">
      <c r="I862" s="5"/>
    </row>
    <row r="863">
      <c r="I863" s="5"/>
    </row>
    <row r="864">
      <c r="I864" s="5"/>
    </row>
    <row r="865">
      <c r="I865" s="5"/>
    </row>
    <row r="866">
      <c r="I866" s="5"/>
    </row>
    <row r="867">
      <c r="I867" s="5"/>
    </row>
    <row r="868">
      <c r="I868" s="5"/>
    </row>
    <row r="869">
      <c r="I869" s="5"/>
    </row>
    <row r="870">
      <c r="I870" s="5"/>
    </row>
    <row r="871">
      <c r="I871" s="5"/>
    </row>
    <row r="872">
      <c r="I872" s="5"/>
    </row>
    <row r="873">
      <c r="I873" s="5"/>
    </row>
    <row r="874">
      <c r="I874" s="5"/>
    </row>
    <row r="875">
      <c r="I875" s="5"/>
    </row>
    <row r="876">
      <c r="I876" s="5"/>
    </row>
    <row r="877">
      <c r="I877" s="5"/>
    </row>
    <row r="878">
      <c r="I878" s="5"/>
    </row>
    <row r="879">
      <c r="I879" s="5"/>
    </row>
    <row r="880">
      <c r="I880" s="5"/>
    </row>
    <row r="881">
      <c r="I881" s="5"/>
    </row>
    <row r="882">
      <c r="I882" s="5"/>
    </row>
    <row r="883">
      <c r="I883" s="5"/>
    </row>
    <row r="884">
      <c r="I884" s="5"/>
    </row>
    <row r="885">
      <c r="I885" s="5"/>
    </row>
    <row r="886">
      <c r="I886" s="5"/>
    </row>
    <row r="887">
      <c r="I887" s="5"/>
    </row>
    <row r="888">
      <c r="I888" s="5"/>
    </row>
    <row r="889">
      <c r="I889" s="5"/>
    </row>
    <row r="890">
      <c r="I890" s="5"/>
    </row>
    <row r="891">
      <c r="I891" s="5"/>
    </row>
    <row r="892">
      <c r="I892" s="5"/>
    </row>
    <row r="893">
      <c r="I893" s="5"/>
    </row>
    <row r="894">
      <c r="I894" s="5"/>
    </row>
    <row r="895">
      <c r="I895" s="5"/>
    </row>
    <row r="896">
      <c r="I896" s="5"/>
    </row>
    <row r="897">
      <c r="I897" s="5"/>
    </row>
    <row r="898">
      <c r="I898" s="5"/>
    </row>
    <row r="899">
      <c r="I899" s="5"/>
    </row>
    <row r="900">
      <c r="I900" s="5"/>
    </row>
    <row r="901">
      <c r="I901" s="5"/>
    </row>
    <row r="902">
      <c r="I902" s="5"/>
    </row>
    <row r="903">
      <c r="I903" s="5"/>
    </row>
    <row r="904">
      <c r="I904" s="5"/>
    </row>
    <row r="905">
      <c r="I905" s="5"/>
    </row>
    <row r="906">
      <c r="I906" s="5"/>
    </row>
    <row r="907">
      <c r="I907" s="5"/>
    </row>
    <row r="908">
      <c r="I908" s="5"/>
    </row>
    <row r="909">
      <c r="I909" s="5"/>
    </row>
    <row r="910">
      <c r="I910" s="5"/>
    </row>
    <row r="911">
      <c r="I911" s="5"/>
    </row>
    <row r="912">
      <c r="I912" s="5"/>
    </row>
    <row r="913">
      <c r="I913" s="5"/>
    </row>
    <row r="914">
      <c r="I914" s="5"/>
    </row>
    <row r="915">
      <c r="I915" s="5"/>
    </row>
    <row r="916">
      <c r="I916" s="5"/>
    </row>
    <row r="917">
      <c r="I917" s="5"/>
    </row>
    <row r="918">
      <c r="I918" s="5"/>
    </row>
    <row r="919">
      <c r="I919" s="5"/>
    </row>
    <row r="920">
      <c r="I920" s="5"/>
    </row>
    <row r="921">
      <c r="I921" s="5"/>
    </row>
    <row r="922">
      <c r="I922" s="5"/>
    </row>
    <row r="923">
      <c r="I923" s="5"/>
    </row>
    <row r="924">
      <c r="I924" s="5"/>
    </row>
    <row r="925">
      <c r="I925" s="5"/>
    </row>
    <row r="926">
      <c r="I926" s="5"/>
    </row>
    <row r="927">
      <c r="I927" s="5"/>
    </row>
    <row r="928">
      <c r="I928" s="5"/>
    </row>
    <row r="929">
      <c r="I929" s="5"/>
    </row>
    <row r="930">
      <c r="I930" s="5"/>
    </row>
    <row r="931">
      <c r="I931" s="5"/>
    </row>
    <row r="932">
      <c r="I932" s="5"/>
    </row>
    <row r="933">
      <c r="I933" s="5"/>
    </row>
    <row r="934">
      <c r="I934" s="5"/>
    </row>
    <row r="935">
      <c r="I935" s="5"/>
    </row>
    <row r="936">
      <c r="I936" s="5"/>
    </row>
    <row r="937">
      <c r="I937" s="5"/>
    </row>
    <row r="938">
      <c r="I938" s="5"/>
    </row>
    <row r="939">
      <c r="I939" s="5"/>
    </row>
    <row r="940">
      <c r="I940" s="5"/>
    </row>
    <row r="941">
      <c r="I941" s="5"/>
    </row>
    <row r="942">
      <c r="I942" s="5"/>
    </row>
    <row r="943">
      <c r="I943" s="5"/>
    </row>
    <row r="944">
      <c r="I944" s="5"/>
    </row>
    <row r="945">
      <c r="I945" s="5"/>
    </row>
    <row r="946">
      <c r="I946" s="5"/>
    </row>
    <row r="947">
      <c r="I947" s="5"/>
    </row>
    <row r="948">
      <c r="I948" s="5"/>
    </row>
    <row r="949">
      <c r="I949" s="5"/>
    </row>
    <row r="950">
      <c r="I950" s="5"/>
    </row>
    <row r="951">
      <c r="I951" s="5"/>
    </row>
    <row r="952">
      <c r="I952" s="5"/>
    </row>
    <row r="953">
      <c r="I953" s="5"/>
    </row>
    <row r="954">
      <c r="I954" s="5"/>
    </row>
    <row r="955">
      <c r="I955" s="5"/>
    </row>
    <row r="956">
      <c r="I956" s="5"/>
    </row>
    <row r="957">
      <c r="I957" s="5"/>
    </row>
    <row r="958">
      <c r="I958" s="5"/>
    </row>
    <row r="959">
      <c r="I959" s="5"/>
    </row>
    <row r="960">
      <c r="I960" s="5"/>
    </row>
    <row r="961">
      <c r="I961" s="5"/>
    </row>
    <row r="962">
      <c r="I962" s="5"/>
    </row>
    <row r="963">
      <c r="I963" s="5"/>
    </row>
    <row r="964">
      <c r="I964" s="5"/>
    </row>
    <row r="965">
      <c r="I965" s="5"/>
    </row>
    <row r="966">
      <c r="I966" s="5"/>
    </row>
    <row r="967">
      <c r="I967" s="5"/>
    </row>
    <row r="968">
      <c r="I968" s="5"/>
    </row>
    <row r="969">
      <c r="I969" s="5"/>
    </row>
    <row r="970">
      <c r="I970" s="5"/>
    </row>
    <row r="971">
      <c r="I971" s="5"/>
    </row>
    <row r="972">
      <c r="I972" s="5"/>
    </row>
    <row r="973">
      <c r="I973" s="5"/>
    </row>
    <row r="974">
      <c r="I974" s="5"/>
    </row>
    <row r="975">
      <c r="I975" s="5"/>
    </row>
    <row r="976">
      <c r="I976" s="5"/>
    </row>
    <row r="977">
      <c r="I977" s="5"/>
    </row>
    <row r="978">
      <c r="I978" s="5"/>
    </row>
    <row r="979">
      <c r="I979" s="5"/>
    </row>
    <row r="980">
      <c r="I980" s="5"/>
    </row>
    <row r="981">
      <c r="I981" s="5"/>
    </row>
    <row r="982">
      <c r="I982" s="5"/>
    </row>
    <row r="983">
      <c r="I983" s="5"/>
    </row>
    <row r="984">
      <c r="I984" s="5"/>
    </row>
    <row r="985">
      <c r="I985" s="5"/>
    </row>
    <row r="986">
      <c r="I986" s="5"/>
    </row>
    <row r="987">
      <c r="I987" s="5"/>
    </row>
    <row r="988">
      <c r="I988" s="5"/>
    </row>
    <row r="989">
      <c r="I989" s="5"/>
    </row>
    <row r="990">
      <c r="I990" s="5"/>
    </row>
    <row r="991">
      <c r="I991" s="5"/>
    </row>
    <row r="992">
      <c r="I992" s="5"/>
    </row>
    <row r="993">
      <c r="I993" s="5"/>
    </row>
    <row r="994">
      <c r="I994" s="5"/>
    </row>
    <row r="995">
      <c r="I995" s="5"/>
    </row>
    <row r="996">
      <c r="I996" s="5"/>
    </row>
    <row r="997">
      <c r="I997" s="5"/>
    </row>
    <row r="998">
      <c r="I998" s="5"/>
    </row>
    <row r="999">
      <c r="I999" s="5"/>
    </row>
    <row r="1000">
      <c r="I1000" s="5"/>
    </row>
    <row r="1001">
      <c r="I1001" s="5"/>
    </row>
    <row r="1002">
      <c r="I1002" s="5"/>
    </row>
    <row r="1003">
      <c r="I1003" s="5"/>
    </row>
  </sheetData>
  <mergeCells count="4">
    <mergeCell ref="A1:I1"/>
    <mergeCell ref="M2:P4"/>
    <mergeCell ref="B3:H5"/>
    <mergeCell ref="B20:G23"/>
  </mergeCells>
  <conditionalFormatting sqref="F2 F6:F19 F24:F1003">
    <cfRule type="cellIs" dxfId="5" priority="1" operator="equal">
      <formula>"High"</formula>
    </cfRule>
  </conditionalFormatting>
  <conditionalFormatting sqref="F2 F6:F19 F24:F1003">
    <cfRule type="beginsWith" dxfId="6" priority="2" operator="beginsWith" text="Very High">
      <formula>LEFT((F2),LEN("Very High"))=("Very High")</formula>
    </cfRule>
  </conditionalFormatting>
  <conditionalFormatting sqref="F2 F6:F19 F24:F1003">
    <cfRule type="beginsWith" dxfId="7" priority="3" operator="beginsWith" text="Medium">
      <formula>LEFT((F2),LEN("Medium"))=("Medium")</formula>
    </cfRule>
  </conditionalFormatting>
  <conditionalFormatting sqref="F1:F1003">
    <cfRule type="containsText" dxfId="8" priority="4" operator="containsText" text="LOW">
      <formula>NOT(ISERROR(SEARCH(("LOW"),(F1))))</formula>
    </cfRule>
  </conditionalFormatting>
  <dataValidations>
    <dataValidation type="list" allowBlank="1" sqref="J9:J13">
      <formula1>"YES,NO"</formula1>
    </dataValidation>
    <dataValidation type="list" allowBlank="1" sqref="F9:F13">
      <formula1>"Very High,High,Medium,LOW"</formula1>
    </dataValidation>
    <dataValidation type="list" allowBlank="1" sqref="G9:G13">
      <formula1>"Tablet,Strip,Bottle,Capsule,Box/Pack"</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0"/>
    <col customWidth="1" min="3" max="3" width="17.13"/>
    <col customWidth="1" min="4" max="4" width="30.13"/>
    <col customWidth="1" min="5" max="5" width="37.63"/>
    <col customWidth="1" min="6" max="6" width="20.0"/>
    <col customWidth="1" min="7" max="7" width="18.5"/>
    <col customWidth="1" min="8" max="8" width="18.38"/>
  </cols>
  <sheetData>
    <row r="1">
      <c r="A1" s="18" t="s">
        <v>35</v>
      </c>
    </row>
    <row r="3">
      <c r="C3" s="19" t="s">
        <v>36</v>
      </c>
      <c r="M3" s="3" t="s">
        <v>2</v>
      </c>
    </row>
    <row r="11" ht="22.5" customHeight="1">
      <c r="B11" s="8" t="s">
        <v>37</v>
      </c>
      <c r="C11" s="8" t="s">
        <v>8</v>
      </c>
      <c r="D11" s="8" t="s">
        <v>7</v>
      </c>
      <c r="E11" s="8" t="s">
        <v>38</v>
      </c>
      <c r="F11" s="8" t="s">
        <v>39</v>
      </c>
      <c r="G11" s="8" t="s">
        <v>40</v>
      </c>
      <c r="H11" s="8" t="s">
        <v>41</v>
      </c>
    </row>
    <row r="12" ht="22.5" customHeight="1">
      <c r="B12" s="12" t="s">
        <v>42</v>
      </c>
      <c r="C12" s="13" t="str">
        <f>IFERROR(__xludf.DUMMYFUNCTION("LOWER(REGEXREPLACE(TRIM(CLEAN(B12)),""[^A-Za-z0-9]"",""""))"),"dolokind")</f>
        <v>dolokind</v>
      </c>
      <c r="D12" s="13" t="str">
        <f t="array" ref="D12">IFERROR(
 XLOOKUP(
   C12,
   'High Risk Medicines'!D:D,
   'High Risk Medicines'!C:C
 ),
 "UNMAPPED"
)</f>
        <v>UNMAPPED</v>
      </c>
      <c r="E12" s="14" t="s">
        <v>43</v>
      </c>
      <c r="F12" s="20">
        <v>46023.0</v>
      </c>
      <c r="G12" s="21" t="str">
        <f t="shared" ref="G12:G15" si="1">IF(COUNTIF($C$12:C12,C12)&gt;1,"YES","NO")</f>
        <v>NO</v>
      </c>
      <c r="H12" s="14" t="s">
        <v>44</v>
      </c>
    </row>
    <row r="13" ht="22.5" customHeight="1">
      <c r="B13" s="12" t="s">
        <v>45</v>
      </c>
      <c r="C13" s="13" t="str">
        <f>IFERROR(__xludf.DUMMYFUNCTION("LOWER(REGEXREPLACE(TRIM(CLEAN(B13)),""[^A-Za-z0-9]"",""""))"),"dolo650")</f>
        <v>dolo650</v>
      </c>
      <c r="D13" s="13" t="str">
        <f t="array" ref="D13">IFERROR(
 XLOOKUP(
   C13,
   'High Risk Medicines'!E:E,
   'High Risk Medicines'!D:D
 ),
 "UNMAPPED"
)</f>
        <v>Dolo 650</v>
      </c>
      <c r="E13" s="14" t="s">
        <v>43</v>
      </c>
      <c r="F13" s="20">
        <v>46024.0</v>
      </c>
      <c r="G13" s="21" t="str">
        <f t="shared" si="1"/>
        <v>NO</v>
      </c>
      <c r="H13" s="14" t="s">
        <v>46</v>
      </c>
    </row>
    <row r="14" ht="22.5" customHeight="1">
      <c r="B14" s="12" t="s">
        <v>47</v>
      </c>
      <c r="C14" s="13" t="str">
        <f>IFERROR(__xludf.DUMMYFUNCTION("LOWER(REGEXREPLACE(TRIM(CLEAN(B14)),""[^A-Za-z0-9]"",""""))"),"dolo650mg")</f>
        <v>dolo650mg</v>
      </c>
      <c r="D14" s="13" t="str">
        <f t="array" ref="D14">IFERROR(
 XLOOKUP(
   C14,
   'High Risk Medicines'!E:E,
   'High Risk Medicines'!D:D
 ),
 "UNMAPPED"
)</f>
        <v>Dolo 650 mg</v>
      </c>
      <c r="E14" s="14" t="s">
        <v>48</v>
      </c>
      <c r="F14" s="20">
        <v>46025.0</v>
      </c>
      <c r="G14" s="21" t="str">
        <f t="shared" si="1"/>
        <v>NO</v>
      </c>
      <c r="H14" s="14" t="s">
        <v>49</v>
      </c>
    </row>
    <row r="15" ht="22.5" customHeight="1">
      <c r="B15" s="12" t="s">
        <v>50</v>
      </c>
      <c r="C15" s="13" t="str">
        <f>IFERROR(__xludf.DUMMYFUNCTION("LOWER(REGEXREPLACE(TRIM(CLEAN(B15)),""[^A-Za-z0-9]"",""""))"),"azithro500")</f>
        <v>azithro500</v>
      </c>
      <c r="D15" s="13" t="str">
        <f t="array" ref="D15">IFERROR(
 XLOOKUP(
   C15,
   'High Risk Medicines'!E:E,
   'High Risk Medicines'!D:D
 ),
 "UNMAPPED"
)</f>
        <v>UNMAPPED</v>
      </c>
      <c r="E15" s="14" t="s">
        <v>51</v>
      </c>
      <c r="F15" s="20">
        <v>46026.0</v>
      </c>
      <c r="G15" s="21" t="str">
        <f t="shared" si="1"/>
        <v>NO</v>
      </c>
      <c r="H15" s="14" t="s">
        <v>46</v>
      </c>
    </row>
    <row r="16" ht="22.5" customHeight="1">
      <c r="C16" s="13" t="str">
        <f>IFERROR(__xludf.DUMMYFUNCTION("LOWER(REGEXREPLACE(TRIM(CLEAN(B16)),""[^A-Za-z0-9]"",""""))"),"")</f>
        <v/>
      </c>
      <c r="E16" s="22"/>
      <c r="F16" s="23"/>
      <c r="G16" s="22"/>
      <c r="H16" s="22"/>
    </row>
    <row r="22">
      <c r="C22" s="24" t="s">
        <v>52</v>
      </c>
    </row>
  </sheetData>
  <mergeCells count="4">
    <mergeCell ref="A1:J1"/>
    <mergeCell ref="C3:H6"/>
    <mergeCell ref="M3:P5"/>
    <mergeCell ref="C22:H26"/>
  </mergeCells>
  <conditionalFormatting sqref="H1:H21 H27:H1006">
    <cfRule type="beginsWith" dxfId="9" priority="1" operator="beginsWith" text="Mapped">
      <formula>LEFT((H1),LEN("Mapped"))=("Mapped")</formula>
    </cfRule>
  </conditionalFormatting>
  <conditionalFormatting sqref="H1:H21 H27:H1006">
    <cfRule type="containsText" dxfId="10" priority="2" operator="containsText" text="needs review">
      <formula>NOT(ISERROR(SEARCH(("needs review"),(H1))))</formula>
    </cfRule>
  </conditionalFormatting>
  <conditionalFormatting sqref="H1:H21 H27:H1006">
    <cfRule type="containsText" dxfId="9" priority="3" operator="containsText" text="Normalized">
      <formula>NOT(ISERROR(SEARCH(("Normalized"),(H1))))</formula>
    </cfRule>
  </conditionalFormatting>
  <dataValidations>
    <dataValidation type="list" allowBlank="1" sqref="E12:E16">
      <formula1>"Case variation,Spelling,Abbreviation,Dosage"</formula1>
    </dataValidation>
    <dataValidation type="list" allowBlank="1" sqref="G12:G16">
      <formula1>"NO,YES"</formula1>
    </dataValidation>
    <dataValidation type="custom" allowBlank="1" showDropDown="1" sqref="F12:F16">
      <formula1>OR(NOT(ISERROR(DATEVALUE(F12))), AND(ISNUMBER(F12), LEFT(CELL("format", F12))="D"))</formula1>
    </dataValidation>
    <dataValidation type="list" allowBlank="1" sqref="H12:H16">
      <formula1>"Needs Review,Mapped,Normalized"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6.0"/>
    <col customWidth="1" min="5" max="5" width="17.13"/>
    <col customWidth="1" min="6" max="6" width="30.13"/>
    <col customWidth="1" min="7" max="7" width="20.38"/>
    <col customWidth="1" min="8" max="8" width="13.38"/>
    <col customWidth="1" min="10" max="10" width="13.75"/>
    <col customWidth="1" min="12" max="12" width="14.88"/>
  </cols>
  <sheetData>
    <row r="1">
      <c r="A1" s="25" t="s">
        <v>53</v>
      </c>
    </row>
    <row r="3">
      <c r="C3" s="26" t="s">
        <v>54</v>
      </c>
      <c r="M3" s="3" t="s">
        <v>2</v>
      </c>
    </row>
    <row r="9" ht="22.5" customHeight="1">
      <c r="B9" s="8" t="s">
        <v>5</v>
      </c>
      <c r="C9" s="8" t="s">
        <v>55</v>
      </c>
      <c r="D9" s="8" t="s">
        <v>37</v>
      </c>
      <c r="E9" s="8" t="s">
        <v>8</v>
      </c>
      <c r="F9" s="8" t="s">
        <v>7</v>
      </c>
      <c r="G9" s="8" t="s">
        <v>56</v>
      </c>
      <c r="H9" s="8" t="s">
        <v>57</v>
      </c>
      <c r="I9" s="8" t="s">
        <v>58</v>
      </c>
    </row>
    <row r="10" ht="22.5" customHeight="1">
      <c r="B10" s="20">
        <v>46023.0</v>
      </c>
      <c r="C10" s="12" t="s">
        <v>59</v>
      </c>
      <c r="D10" s="12" t="s">
        <v>60</v>
      </c>
      <c r="E10" s="13" t="str">
        <f>IFERROR(__xludf.DUMMYFUNCTION("LOWER(REGEXREPLACE(TRIM(CLEAN(D10)),""[^A-Za-z0-9]"",""""))"),"dolo600")</f>
        <v>dolo600</v>
      </c>
      <c r="F10" s="13" t="str">
        <f t="array" ref="F10">IFERROR(
 XLOOKUP(
   E10,
   'High Risk Medicines'!E:E,
   'High Risk Medicines'!D:D
 ),
 "UNMAPPED"
)</f>
        <v>UNMAPPED</v>
      </c>
      <c r="G10" s="22" t="str">
        <f t="shared" ref="G10:G13" si="1">IF(F10="UNMAPPED","ERROR","OK")</f>
        <v>ERROR</v>
      </c>
      <c r="H10" s="12" t="s">
        <v>61</v>
      </c>
      <c r="I10" s="12">
        <v>6.0</v>
      </c>
    </row>
    <row r="11" ht="22.5" customHeight="1">
      <c r="B11" s="20">
        <v>46024.0</v>
      </c>
      <c r="C11" s="12" t="s">
        <v>62</v>
      </c>
      <c r="D11" s="12" t="s">
        <v>45</v>
      </c>
      <c r="E11" s="13" t="str">
        <f>IFERROR(__xludf.DUMMYFUNCTION("LOWER(REGEXREPLACE(TRIM(CLEAN(D11)),""[^A-Za-z0-9]"",""""))"),"dolo650")</f>
        <v>dolo650</v>
      </c>
      <c r="F11" s="13" t="str">
        <f t="array" ref="F11">IFERROR(
 XLOOKUP(
   E11,
   'High Risk Medicines'!E:E,
   'High Risk Medicines'!D:D
 ),
 "UNMAPPED"
)</f>
        <v>Dolo 650</v>
      </c>
      <c r="G11" s="22" t="str">
        <f t="shared" si="1"/>
        <v>OK</v>
      </c>
      <c r="H11" s="12" t="s">
        <v>63</v>
      </c>
      <c r="I11" s="12">
        <v>4.0</v>
      </c>
    </row>
    <row r="12" ht="22.5" customHeight="1">
      <c r="B12" s="20">
        <v>46025.0</v>
      </c>
      <c r="C12" s="12" t="s">
        <v>64</v>
      </c>
      <c r="D12" s="12" t="s">
        <v>50</v>
      </c>
      <c r="E12" s="13" t="str">
        <f>IFERROR(__xludf.DUMMYFUNCTION("LOWER(REGEXREPLACE(TRIM(CLEAN(D12)),""[^A-Za-z0-9]"",""""))"),"azithro500")</f>
        <v>azithro500</v>
      </c>
      <c r="F12" s="13" t="str">
        <f t="array" ref="F12">IFERROR(
 XLOOKUP(
   E12,
   'High Risk Medicines'!E:E,
   'High Risk Medicines'!D:D
 ),
 "UNMAPPED"
)</f>
        <v>UNMAPPED</v>
      </c>
      <c r="G12" s="22" t="str">
        <f t="shared" si="1"/>
        <v>ERROR</v>
      </c>
      <c r="H12" s="12" t="s">
        <v>65</v>
      </c>
      <c r="I12" s="12">
        <v>5.0</v>
      </c>
    </row>
    <row r="13" ht="22.5" customHeight="1">
      <c r="B13" s="20">
        <v>46026.0</v>
      </c>
      <c r="C13" s="12" t="s">
        <v>66</v>
      </c>
      <c r="D13" s="12" t="s">
        <v>67</v>
      </c>
      <c r="E13" s="13" t="str">
        <f>IFERROR(__xludf.DUMMYFUNCTION("LOWER(REGEXREPLACE(TRIM(CLEAN(D13)),""[^A-Za-z0-9]"",""""))"),"cetirizine10")</f>
        <v>cetirizine10</v>
      </c>
      <c r="F13" s="13" t="str">
        <f t="array" ref="F13">IFERROR(
 XLOOKUP(
   E13,
   'High Risk Medicines'!E:E,
   'High Risk Medicines'!D:D
 ),
 "UNMAPPED"
)</f>
        <v>Cetirizine 10</v>
      </c>
      <c r="G13" s="22" t="str">
        <f t="shared" si="1"/>
        <v>OK</v>
      </c>
      <c r="H13" s="12" t="s">
        <v>68</v>
      </c>
      <c r="I13" s="12">
        <v>4.0</v>
      </c>
    </row>
    <row r="14" ht="22.5" customHeight="1">
      <c r="B14" s="20">
        <v>46027.0</v>
      </c>
      <c r="C14" s="12" t="s">
        <v>69</v>
      </c>
      <c r="D14" s="12" t="s">
        <v>70</v>
      </c>
      <c r="E14" s="13" t="str">
        <f>IFERROR(__xludf.DUMMYFUNCTION("LOWER(REGEXREPLACE(TRIM(CLEAN(D14)),""[^A-Za-z0-9]"",""""))"),"dolosixfivezero")</f>
        <v>dolosixfivezero</v>
      </c>
      <c r="F14" s="13" t="str">
        <f t="array" ref="F14">IFERROR(
 XLOOKUP(
   E14,
   'High Risk Medicines'!E:E,
   'High Risk Medicines'!D:D
 ),
 "UNMAPPED"
)</f>
        <v>UNMAPPED</v>
      </c>
      <c r="G14" s="16" t="s">
        <v>71</v>
      </c>
      <c r="H14" s="12" t="s">
        <v>72</v>
      </c>
      <c r="I14" s="27">
        <v>3.0</v>
      </c>
    </row>
    <row r="15" ht="22.5" customHeight="1">
      <c r="B15" s="20">
        <v>46028.0</v>
      </c>
      <c r="C15" s="12" t="s">
        <v>73</v>
      </c>
      <c r="D15" s="28"/>
      <c r="E15" s="13" t="str">
        <f>IFERROR(__xludf.DUMMYFUNCTION("LOWER(REGEXREPLACE(TRIM(CLEAN(D15)),""[^A-Za-z0-9]"",""""))"),"")</f>
        <v/>
      </c>
      <c r="F15" s="28"/>
      <c r="G15" s="29"/>
      <c r="H15" s="28"/>
      <c r="I15" s="28"/>
    </row>
  </sheetData>
  <mergeCells count="3">
    <mergeCell ref="A1:K1"/>
    <mergeCell ref="C3:H6"/>
    <mergeCell ref="M3:P5"/>
  </mergeCells>
  <conditionalFormatting sqref="G1:G1008">
    <cfRule type="beginsWith" dxfId="11" priority="1" operator="beginsWith" text="OK">
      <formula>LEFT((G1),LEN("OK"))=("OK")</formula>
    </cfRule>
  </conditionalFormatting>
  <conditionalFormatting sqref="G1:G1008">
    <cfRule type="beginsWith" dxfId="12" priority="2" operator="beginsWith" text="ERROR">
      <formula>LEFT((G1),LEN("ERROR"))=("ERROR")</formula>
    </cfRule>
  </conditionalFormatting>
  <dataValidations>
    <dataValidation type="custom" allowBlank="1" showDropDown="1" sqref="B10:B15">
      <formula1>OR(NOT(ISERROR(DATEVALUE(B10))), AND(ISNUMBER(B10), LEFT(CELL("format", B10))="D"))</formula1>
    </dataValidation>
    <dataValidation type="list" allowBlank="1" sqref="G10:G15">
      <formula1>"ERROR,OK"</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63"/>
    <col customWidth="1" min="3" max="3" width="13.75"/>
    <col customWidth="1" min="4" max="4" width="30.13"/>
    <col customWidth="1" min="5" max="5" width="19.0"/>
    <col customWidth="1" min="6" max="6" width="23.63"/>
    <col customWidth="1" min="7" max="7" width="19.88"/>
    <col customWidth="1" min="8" max="8" width="16.63"/>
    <col customWidth="1" min="9" max="9" width="16.75"/>
    <col customWidth="1" min="10" max="10" width="20.5"/>
  </cols>
  <sheetData>
    <row r="1">
      <c r="A1" s="30" t="s">
        <v>74</v>
      </c>
    </row>
    <row r="3">
      <c r="C3" s="31" t="s">
        <v>75</v>
      </c>
      <c r="N3" s="3" t="s">
        <v>2</v>
      </c>
    </row>
    <row r="10" ht="22.5" customHeight="1">
      <c r="B10" s="8" t="s">
        <v>76</v>
      </c>
      <c r="C10" s="8" t="s">
        <v>55</v>
      </c>
      <c r="D10" s="8" t="s">
        <v>7</v>
      </c>
      <c r="E10" s="8" t="s">
        <v>58</v>
      </c>
      <c r="F10" s="8" t="s">
        <v>77</v>
      </c>
      <c r="G10" s="8" t="s">
        <v>78</v>
      </c>
      <c r="H10" s="8" t="s">
        <v>79</v>
      </c>
      <c r="I10" s="8" t="s">
        <v>80</v>
      </c>
      <c r="J10" s="8" t="s">
        <v>81</v>
      </c>
    </row>
    <row r="11" ht="22.5" customHeight="1">
      <c r="B11" s="20">
        <v>46023.0</v>
      </c>
      <c r="C11" s="12" t="s">
        <v>59</v>
      </c>
      <c r="D11" s="12" t="str">
        <f>'Sales Mapped'!F10</f>
        <v>UNMAPPED</v>
      </c>
      <c r="E11" s="13">
        <f>'Sales Mapped'!I10</f>
        <v>6</v>
      </c>
      <c r="F11" s="14" t="s">
        <v>82</v>
      </c>
      <c r="G11" s="14" t="s">
        <v>82</v>
      </c>
      <c r="H11" s="32" t="s">
        <v>51</v>
      </c>
      <c r="I11" s="14" t="s">
        <v>82</v>
      </c>
      <c r="J11" s="14" t="s">
        <v>83</v>
      </c>
    </row>
    <row r="12" ht="22.5" customHeight="1">
      <c r="B12" s="20">
        <v>46024.0</v>
      </c>
      <c r="C12" s="12" t="s">
        <v>62</v>
      </c>
      <c r="D12" s="12" t="str">
        <f>'Sales Mapped'!F11</f>
        <v>Dolo 650</v>
      </c>
      <c r="E12" s="13">
        <f>'Sales Mapped'!I11</f>
        <v>4</v>
      </c>
      <c r="F12" s="14" t="s">
        <v>19</v>
      </c>
      <c r="G12" s="14" t="s">
        <v>19</v>
      </c>
      <c r="H12" s="14" t="s">
        <v>84</v>
      </c>
      <c r="I12" s="14" t="s">
        <v>19</v>
      </c>
      <c r="J12" s="14" t="s">
        <v>85</v>
      </c>
    </row>
    <row r="13" ht="22.5" customHeight="1">
      <c r="B13" s="20">
        <v>46025.0</v>
      </c>
      <c r="C13" s="12" t="s">
        <v>64</v>
      </c>
      <c r="D13" s="12" t="str">
        <f>'Sales Mapped'!F12</f>
        <v>UNMAPPED</v>
      </c>
      <c r="E13" s="13">
        <f>'Sales Mapped'!I12</f>
        <v>5</v>
      </c>
      <c r="F13" s="14" t="s">
        <v>82</v>
      </c>
      <c r="G13" s="14" t="s">
        <v>82</v>
      </c>
      <c r="H13" s="32" t="s">
        <v>48</v>
      </c>
      <c r="I13" s="14" t="s">
        <v>82</v>
      </c>
      <c r="J13" s="14" t="s">
        <v>83</v>
      </c>
    </row>
    <row r="14" ht="22.5" customHeight="1">
      <c r="B14" s="20">
        <v>46026.0</v>
      </c>
      <c r="C14" s="12" t="s">
        <v>66</v>
      </c>
      <c r="D14" s="12" t="str">
        <f>'Sales Mapped'!F13</f>
        <v>Cetirizine 10</v>
      </c>
      <c r="E14" s="13">
        <f>'Sales Mapped'!I13</f>
        <v>4</v>
      </c>
      <c r="F14" s="14" t="s">
        <v>19</v>
      </c>
      <c r="G14" s="14" t="s">
        <v>19</v>
      </c>
      <c r="H14" s="14" t="s">
        <v>84</v>
      </c>
      <c r="I14" s="14" t="s">
        <v>19</v>
      </c>
      <c r="J14" s="14" t="s">
        <v>85</v>
      </c>
    </row>
    <row r="15">
      <c r="B15" s="33"/>
      <c r="E15" s="34" t="str">
        <f>'Sales Mapped'!I14:I17</f>
        <v/>
      </c>
    </row>
    <row r="19">
      <c r="C19" s="35" t="s">
        <v>86</v>
      </c>
    </row>
  </sheetData>
  <mergeCells count="4">
    <mergeCell ref="A1:K1"/>
    <mergeCell ref="C3:I7"/>
    <mergeCell ref="N3:Q5"/>
    <mergeCell ref="C19:I21"/>
  </mergeCells>
  <conditionalFormatting sqref="F1:F18 F22:F1009">
    <cfRule type="containsText" dxfId="13" priority="1" operator="containsText" text="no">
      <formula>NOT(ISERROR(SEARCH(("no"),(F1))))</formula>
    </cfRule>
  </conditionalFormatting>
  <conditionalFormatting sqref="G1:G18 G22:G1009">
    <cfRule type="containsText" dxfId="14" priority="2" operator="containsText" text="NO">
      <formula>NOT(ISERROR(SEARCH(("NO"),(G1))))</formula>
    </cfRule>
  </conditionalFormatting>
  <conditionalFormatting sqref="I1:I18 I22:I1009">
    <cfRule type="containsText" dxfId="14" priority="3" operator="containsText" text="NO">
      <formula>NOT(ISERROR(SEARCH(("NO"),(I1))))</formula>
    </cfRule>
  </conditionalFormatting>
  <conditionalFormatting sqref="H1:H18 H22:H1009">
    <cfRule type="containsText" dxfId="5" priority="4" operator="containsText" text="Abbreviation">
      <formula>NOT(ISERROR(SEARCH(("Abbreviation"),(H1))))</formula>
    </cfRule>
  </conditionalFormatting>
  <conditionalFormatting sqref="H1:H18 H22:H1009">
    <cfRule type="containsText" dxfId="5" priority="5" operator="containsText" text="Spelling">
      <formula>NOT(ISERROR(SEARCH(("Spelling"),(H1))))</formula>
    </cfRule>
  </conditionalFormatting>
  <conditionalFormatting sqref="J1:J1009">
    <cfRule type="containsText" dxfId="15" priority="6" operator="containsText" text="Variant Not Mapped">
      <formula>NOT(ISERROR(SEARCH(("Variant Not Mapped"),(J1))))</formula>
    </cfRule>
  </conditionalFormatting>
  <dataValidations>
    <dataValidation type="list" allowBlank="1" sqref="I11:I14">
      <formula1>"NO,YES"</formula1>
    </dataValidation>
    <dataValidation type="list" allowBlank="1" sqref="H11:H14">
      <formula1>"Abbreviation,None,Spelling,Case Variation,Dosage"</formula1>
    </dataValidation>
    <dataValidation type="custom" allowBlank="1" showDropDown="1" sqref="B11:B14">
      <formula1>OR(NOT(ISERROR(DATEVALUE(B11))), AND(ISNUMBER(B11), LEFT(CELL("format", B11))="D"))</formula1>
    </dataValidation>
    <dataValidation type="list" allowBlank="1" sqref="F11:G14">
      <formula1>"NO,YES"</formula1>
    </dataValidation>
    <dataValidation type="list" allowBlank="1" sqref="J11:J14">
      <formula1>"Variant not mapped,-"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25"/>
    <col customWidth="1" min="4" max="4" width="16.38"/>
    <col customWidth="1" min="5" max="5" width="13.5"/>
    <col customWidth="1" min="6" max="6" width="8.88"/>
    <col customWidth="1" min="7" max="7" width="21.75"/>
    <col customWidth="1" min="8" max="8" width="16.13"/>
    <col customWidth="1" min="9" max="9" width="13.13"/>
    <col customWidth="1" min="10" max="10" width="12.75"/>
    <col customWidth="1" min="11" max="11" width="25.38"/>
  </cols>
  <sheetData>
    <row r="1">
      <c r="A1" s="36" t="s">
        <v>87</v>
      </c>
    </row>
    <row r="3">
      <c r="C3" s="37" t="s">
        <v>88</v>
      </c>
    </row>
    <row r="4">
      <c r="O4" s="3" t="s">
        <v>2</v>
      </c>
    </row>
    <row r="9" ht="22.5" customHeight="1">
      <c r="B9" s="38" t="s">
        <v>5</v>
      </c>
      <c r="C9" s="38" t="s">
        <v>7</v>
      </c>
      <c r="D9" s="38" t="s">
        <v>89</v>
      </c>
      <c r="E9" s="38" t="s">
        <v>90</v>
      </c>
      <c r="F9" s="38" t="s">
        <v>91</v>
      </c>
      <c r="G9" s="38" t="s">
        <v>92</v>
      </c>
      <c r="H9" s="38" t="s">
        <v>93</v>
      </c>
      <c r="I9" s="38" t="s">
        <v>94</v>
      </c>
      <c r="J9" s="38" t="s">
        <v>12</v>
      </c>
      <c r="K9" s="38" t="s">
        <v>95</v>
      </c>
      <c r="L9" s="39"/>
    </row>
    <row r="10" ht="22.5" customHeight="1">
      <c r="B10" s="20">
        <v>46026.0</v>
      </c>
      <c r="C10" s="12" t="s">
        <v>15</v>
      </c>
      <c r="D10" s="12">
        <v>15.0</v>
      </c>
      <c r="E10" s="12">
        <v>5.0</v>
      </c>
      <c r="F10" s="12">
        <v>10.0</v>
      </c>
      <c r="G10" s="40">
        <f t="shared" ref="G10:G12" si="1">D10+E10-F10</f>
        <v>10</v>
      </c>
      <c r="H10" s="12">
        <v>6.0</v>
      </c>
      <c r="I10" s="13">
        <f t="shared" ref="I10:I12" si="2">SUM(H10,-G10)</f>
        <v>-4</v>
      </c>
      <c r="J10" s="12">
        <v>2.0</v>
      </c>
      <c r="K10" s="22" t="str">
        <f t="shared" ref="K10:K12" si="3">IF(ABS(I10) &gt; J10, "REVIEW", "OK")</f>
        <v>REVIEW</v>
      </c>
    </row>
    <row r="11" ht="22.5" customHeight="1">
      <c r="B11" s="20">
        <v>46026.0</v>
      </c>
      <c r="C11" s="12" t="s">
        <v>21</v>
      </c>
      <c r="D11" s="12">
        <v>20.0</v>
      </c>
      <c r="E11" s="12">
        <v>0.0</v>
      </c>
      <c r="F11" s="12">
        <v>5.0</v>
      </c>
      <c r="G11" s="40">
        <f t="shared" si="1"/>
        <v>15</v>
      </c>
      <c r="H11" s="12">
        <v>15.0</v>
      </c>
      <c r="I11" s="13">
        <f t="shared" si="2"/>
        <v>0</v>
      </c>
      <c r="J11" s="12">
        <v>2.0</v>
      </c>
      <c r="K11" s="22" t="str">
        <f t="shared" si="3"/>
        <v>OK</v>
      </c>
    </row>
    <row r="12" ht="22.5" customHeight="1">
      <c r="B12" s="20">
        <v>46026.0</v>
      </c>
      <c r="C12" s="12" t="s">
        <v>30</v>
      </c>
      <c r="D12" s="12">
        <v>30.0</v>
      </c>
      <c r="E12" s="12">
        <v>0.0</v>
      </c>
      <c r="F12" s="12">
        <v>3.0</v>
      </c>
      <c r="G12" s="40">
        <f t="shared" si="1"/>
        <v>27</v>
      </c>
      <c r="H12" s="12">
        <v>27.0</v>
      </c>
      <c r="I12" s="13">
        <f t="shared" si="2"/>
        <v>0</v>
      </c>
      <c r="J12" s="12">
        <v>3.0</v>
      </c>
      <c r="K12" s="22" t="str">
        <f t="shared" si="3"/>
        <v>OK</v>
      </c>
    </row>
    <row r="13" ht="22.5" customHeight="1">
      <c r="B13" s="20"/>
      <c r="G13" s="40"/>
      <c r="K13" s="22"/>
    </row>
    <row r="14">
      <c r="B14" s="33"/>
      <c r="G14" s="41"/>
    </row>
    <row r="15">
      <c r="B15" s="33"/>
      <c r="G15" s="41"/>
    </row>
    <row r="16">
      <c r="B16" s="33"/>
      <c r="G16" s="41"/>
    </row>
    <row r="17">
      <c r="B17" s="33"/>
      <c r="G17" s="41"/>
    </row>
    <row r="18">
      <c r="B18" s="33"/>
      <c r="G18" s="41"/>
    </row>
  </sheetData>
  <mergeCells count="3">
    <mergeCell ref="A1:L1"/>
    <mergeCell ref="C3:K7"/>
    <mergeCell ref="O4:R6"/>
  </mergeCells>
  <conditionalFormatting sqref="K1:K1006">
    <cfRule type="beginsWith" dxfId="16" priority="1" operator="beginsWith" text="ok">
      <formula>LEFT((K1),LEN("ok"))=("ok")</formula>
    </cfRule>
  </conditionalFormatting>
  <conditionalFormatting sqref="K1:K1006">
    <cfRule type="beginsWith" dxfId="10" priority="2" operator="beginsWith" text="Review">
      <formula>LEFT((K1),LEN("Review"))=("Review")</formula>
    </cfRule>
  </conditionalFormatting>
  <dataValidations>
    <dataValidation type="custom" allowBlank="1" showDropDown="1" sqref="B10:B13">
      <formula1>OR(NOT(ISERROR(DATEVALUE(B10))), AND(ISNUMBER(B10), LEFT(CELL("format", B10))="D"))</formula1>
    </dataValidation>
    <dataValidation type="list" allowBlank="1" sqref="K10:K13">
      <formula1>"REVIEW,OK"</formula1>
    </dataValidation>
    <dataValidation type="custom" allowBlank="1" showDropDown="1" sqref="G10:G13">
      <formula1>AND(ISNUMBER(G10),(NOT(OR(NOT(ISERROR(DATEVALUE(G10))), AND(ISNUMBER(G10), LEFT(CELL("format", G10))="D")))))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63"/>
    <col customWidth="1" min="4" max="4" width="33.5"/>
    <col customWidth="1" min="6" max="6" width="19.0"/>
    <col customWidth="1" min="8" max="8" width="13.88"/>
    <col customWidth="1" min="9" max="9" width="19.38"/>
    <col customWidth="1" min="10" max="10" width="16.5"/>
    <col customWidth="1" min="11" max="11" width="14.75"/>
  </cols>
  <sheetData>
    <row r="1">
      <c r="A1" s="42" t="s">
        <v>96</v>
      </c>
    </row>
    <row r="3">
      <c r="C3" s="43" t="s">
        <v>97</v>
      </c>
      <c r="O3" s="44" t="s">
        <v>98</v>
      </c>
    </row>
    <row r="9" ht="22.5" customHeight="1">
      <c r="B9" s="8" t="s">
        <v>5</v>
      </c>
      <c r="C9" s="8" t="s">
        <v>99</v>
      </c>
      <c r="D9" s="8" t="s">
        <v>100</v>
      </c>
      <c r="E9" s="8" t="s">
        <v>101</v>
      </c>
      <c r="F9" s="8" t="s">
        <v>102</v>
      </c>
      <c r="G9" s="8" t="s">
        <v>55</v>
      </c>
      <c r="H9" s="8" t="s">
        <v>103</v>
      </c>
      <c r="I9" s="8" t="s">
        <v>104</v>
      </c>
      <c r="J9" s="8" t="s">
        <v>105</v>
      </c>
      <c r="K9" s="8" t="s">
        <v>106</v>
      </c>
    </row>
    <row r="10" ht="22.5" customHeight="1">
      <c r="B10" s="20">
        <v>46026.0</v>
      </c>
      <c r="C10" s="12" t="s">
        <v>15</v>
      </c>
      <c r="D10" s="14" t="s">
        <v>107</v>
      </c>
      <c r="E10" s="12" t="s">
        <v>108</v>
      </c>
      <c r="F10" s="12" t="s">
        <v>109</v>
      </c>
      <c r="G10" s="12" t="s">
        <v>62</v>
      </c>
      <c r="H10" s="14" t="s">
        <v>27</v>
      </c>
      <c r="I10" s="12" t="s">
        <v>110</v>
      </c>
      <c r="J10" s="14" t="s">
        <v>19</v>
      </c>
      <c r="K10" s="14" t="s">
        <v>111</v>
      </c>
    </row>
    <row r="11" ht="22.5" customHeight="1">
      <c r="B11" s="20">
        <v>46026.0</v>
      </c>
      <c r="C11" s="12" t="s">
        <v>15</v>
      </c>
      <c r="D11" s="14" t="s">
        <v>112</v>
      </c>
      <c r="E11" s="12" t="s">
        <v>113</v>
      </c>
      <c r="F11" s="12" t="s">
        <v>114</v>
      </c>
      <c r="G11" s="12" t="s">
        <v>85</v>
      </c>
      <c r="H11" s="14" t="s">
        <v>16</v>
      </c>
      <c r="I11" s="12" t="s">
        <v>115</v>
      </c>
      <c r="J11" s="14" t="s">
        <v>82</v>
      </c>
      <c r="K11" s="14" t="s">
        <v>116</v>
      </c>
    </row>
    <row r="12" ht="22.5" customHeight="1">
      <c r="B12" s="20">
        <v>46026.0</v>
      </c>
      <c r="C12" s="12" t="s">
        <v>21</v>
      </c>
      <c r="D12" s="14" t="s">
        <v>117</v>
      </c>
      <c r="E12" s="12" t="s">
        <v>118</v>
      </c>
      <c r="F12" s="12" t="s">
        <v>119</v>
      </c>
      <c r="G12" s="12" t="s">
        <v>66</v>
      </c>
      <c r="H12" s="14" t="s">
        <v>22</v>
      </c>
      <c r="I12" s="12" t="s">
        <v>120</v>
      </c>
      <c r="J12" s="14" t="s">
        <v>19</v>
      </c>
      <c r="K12" s="14" t="s">
        <v>111</v>
      </c>
    </row>
    <row r="13" ht="22.5" customHeight="1">
      <c r="B13" s="23"/>
      <c r="D13" s="22"/>
      <c r="H13" s="22"/>
      <c r="J13" s="22"/>
      <c r="K13" s="22"/>
    </row>
  </sheetData>
  <mergeCells count="3">
    <mergeCell ref="A1:K1"/>
    <mergeCell ref="C3:I6"/>
    <mergeCell ref="O3:Q3"/>
  </mergeCells>
  <conditionalFormatting sqref="K1:K1006">
    <cfRule type="containsText" dxfId="9" priority="1" operator="containsText" text="Closed">
      <formula>NOT(ISERROR(SEARCH(("Closed"),(K1))))</formula>
    </cfRule>
  </conditionalFormatting>
  <conditionalFormatting sqref="K1:K1006">
    <cfRule type="containsText" dxfId="12" priority="2" operator="containsText" text="Open">
      <formula>NOT(ISERROR(SEARCH(("Open"),(K1))))</formula>
    </cfRule>
  </conditionalFormatting>
  <dataValidations>
    <dataValidation type="list" allowBlank="1" sqref="J10:J13">
      <formula1>"YES,NO"</formula1>
    </dataValidation>
    <dataValidation type="custom" allowBlank="1" showDropDown="1" sqref="B10:B13">
      <formula1>OR(NOT(ISERROR(DATEVALUE(B10))), AND(ISNUMBER(B10), LEFT(CELL("format", B10))="D"))</formula1>
    </dataValidation>
    <dataValidation type="list" allowBlank="1" sqref="H10:H13">
      <formula1>"Medium,Very High,High,Low"</formula1>
    </dataValidation>
    <dataValidation type="list" allowBlank="1" sqref="D10:D13">
      <formula1>"Name,Qty,Pattern"</formula1>
    </dataValidation>
    <dataValidation type="list" allowBlank="1" sqref="K10:K13">
      <formula1>"Closed,Open"</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63"/>
    <col customWidth="1" min="4" max="4" width="29.38"/>
    <col customWidth="1" min="5" max="5" width="17.75"/>
    <col customWidth="1" min="6" max="6" width="20.75"/>
    <col customWidth="1" min="7" max="7" width="13.38"/>
    <col customWidth="1" min="8" max="8" width="14.0"/>
  </cols>
  <sheetData>
    <row r="1">
      <c r="A1" s="45" t="s">
        <v>121</v>
      </c>
    </row>
    <row r="3">
      <c r="A3" s="43" t="s">
        <v>122</v>
      </c>
      <c r="M3" s="44" t="s">
        <v>123</v>
      </c>
    </row>
    <row r="9" ht="22.5" customHeight="1">
      <c r="B9" s="8" t="s">
        <v>5</v>
      </c>
      <c r="C9" s="8" t="s">
        <v>99</v>
      </c>
      <c r="D9" s="8" t="s">
        <v>124</v>
      </c>
      <c r="E9" s="8" t="s">
        <v>125</v>
      </c>
      <c r="F9" s="8" t="s">
        <v>126</v>
      </c>
      <c r="G9" s="8" t="s">
        <v>127</v>
      </c>
      <c r="H9" s="46" t="s">
        <v>128</v>
      </c>
    </row>
    <row r="10" ht="22.5" customHeight="1">
      <c r="B10" s="20">
        <v>46023.0</v>
      </c>
      <c r="C10" s="12" t="s">
        <v>21</v>
      </c>
      <c r="D10" s="12" t="s">
        <v>129</v>
      </c>
      <c r="E10" s="27">
        <v>1200.0</v>
      </c>
      <c r="F10" s="14" t="s">
        <v>130</v>
      </c>
      <c r="G10" s="12" t="s">
        <v>131</v>
      </c>
      <c r="H10" s="14" t="s">
        <v>111</v>
      </c>
    </row>
    <row r="11" ht="22.5" customHeight="1">
      <c r="B11" s="20">
        <v>46024.0</v>
      </c>
      <c r="C11" s="27" t="s">
        <v>15</v>
      </c>
      <c r="D11" s="27" t="s">
        <v>132</v>
      </c>
      <c r="E11" s="27">
        <v>500.0</v>
      </c>
      <c r="F11" s="14" t="s">
        <v>130</v>
      </c>
      <c r="G11" s="27" t="s">
        <v>133</v>
      </c>
      <c r="H11" s="14" t="s">
        <v>111</v>
      </c>
    </row>
    <row r="12" ht="22.5" customHeight="1">
      <c r="B12" s="20">
        <v>46025.0</v>
      </c>
      <c r="C12" s="27" t="s">
        <v>30</v>
      </c>
      <c r="D12" s="27" t="s">
        <v>134</v>
      </c>
      <c r="E12" s="27">
        <v>700.0</v>
      </c>
      <c r="F12" s="16" t="s">
        <v>135</v>
      </c>
      <c r="G12" s="27" t="s">
        <v>136</v>
      </c>
      <c r="H12" s="16" t="s">
        <v>116</v>
      </c>
    </row>
    <row r="13" ht="22.5" customHeight="1">
      <c r="F13" s="22"/>
      <c r="H13" s="22"/>
    </row>
    <row r="14" ht="22.5" customHeight="1">
      <c r="F14" s="22"/>
      <c r="H14" s="22"/>
    </row>
  </sheetData>
  <mergeCells count="3">
    <mergeCell ref="A1:I1"/>
    <mergeCell ref="A3:I7"/>
    <mergeCell ref="M3:O3"/>
  </mergeCells>
  <conditionalFormatting sqref="F1:F2 F8:F1006">
    <cfRule type="beginsWith" dxfId="16" priority="1" operator="beginsWith" text="YES">
      <formula>LEFT((F1),LEN("YES"))=("YES")</formula>
    </cfRule>
  </conditionalFormatting>
  <conditionalFormatting sqref="F1:F2 F8:F1006">
    <cfRule type="beginsWith" dxfId="17" priority="2" operator="beginsWith" text="NO">
      <formula>LEFT((F1),LEN("NO"))=("NO")</formula>
    </cfRule>
  </conditionalFormatting>
  <conditionalFormatting sqref="H1:H2 H8:H1006">
    <cfRule type="beginsWith" dxfId="8" priority="3" operator="beginsWith" text="CLOSED">
      <formula>LEFT((H1),LEN("CLOSED"))=("CLOSED")</formula>
    </cfRule>
  </conditionalFormatting>
  <conditionalFormatting sqref="H1:H2 H8:H1006">
    <cfRule type="containsText" dxfId="12" priority="4" operator="containsText" text="OPEN">
      <formula>NOT(ISERROR(SEARCH(("OPEN"),(H1))))</formula>
    </cfRule>
  </conditionalFormatting>
  <dataValidations>
    <dataValidation type="list" allowBlank="1" sqref="H10:H14">
      <formula1>"Closed,Open"</formula1>
    </dataValidation>
    <dataValidation type="list" allowBlank="1" sqref="F10:F14">
      <formula1>"Yes,No"</formula1>
    </dataValidation>
  </dataValidations>
  <drawing r:id="rId1"/>
  <tableParts count="1">
    <tablePart r:id="rId3"/>
  </tableParts>
</worksheet>
</file>